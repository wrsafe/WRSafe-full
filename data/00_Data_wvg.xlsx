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7e889baec85f4da/Documenten/WRSafe/data/"/>
    </mc:Choice>
  </mc:AlternateContent>
  <xr:revisionPtr revIDLastSave="3" documentId="11_F25DC773A252ABDACC104895691B4B005ADE58F6" xr6:coauthVersionLast="47" xr6:coauthVersionMax="47" xr10:uidLastSave="{2063BD8A-5114-4DD6-B65D-20392DF3D518}"/>
  <bookViews>
    <workbookView xWindow="435" yWindow="480" windowWidth="28365" windowHeight="14175" xr2:uid="{00000000-000D-0000-FFFF-FFFF00000000}"/>
  </bookViews>
  <sheets>
    <sheet name="Data" sheetId="2" r:id="rId1"/>
  </sheets>
  <definedNames>
    <definedName name="Afdeling1">Data!$F$2:$F$15</definedName>
    <definedName name="Bek_Gebied">Data!$D$3:$D$9</definedName>
    <definedName name="Bek_Meetekenen">Data!$D$22:$D$27</definedName>
    <definedName name="Bek_Systeem">Data!$D$11:$D$20</definedName>
    <definedName name="Bekrachtiging">Data!$D$2:$D$15</definedName>
    <definedName name="Bijlage">Data!$K$2:$K$15</definedName>
    <definedName name="Complexiteit">Data!$A$36:$A$38</definedName>
    <definedName name="Duur">Data!$A$40:$A$42</definedName>
    <definedName name="Gebied1">Data!$E$2:$E$15</definedName>
    <definedName name="Gereedschap">Data!$J$2:$J$25</definedName>
    <definedName name="Gevaren">Data!$G$32:$G$55</definedName>
    <definedName name="GevarenOmgeving">Data!$H$32:$H$55</definedName>
    <definedName name="Keuze">Data!$F$42:$F$44</definedName>
    <definedName name="Maatregel_H">Data!$J$32:$J$55</definedName>
    <definedName name="Maatregel_V">Data!$I$32:$I$55</definedName>
    <definedName name="PBM">Data!$K$32:$K$65</definedName>
    <definedName name="Reden">Data!$G$2:$G$15</definedName>
    <definedName name="Risico">Data!$A$33:$A$34</definedName>
    <definedName name="Ruimte" comment="Ruimtenummers">Data!$M$2:$M$110</definedName>
    <definedName name="RuimteNaam">Data!$O$2:$O$110</definedName>
    <definedName name="Team">Data!$C$2:$C$20</definedName>
    <definedName name="Werkwijze">Data!$I$2:$I$25</definedName>
    <definedName name="Werkzaamheden">Data!$H$2:$H$15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0" i="2" l="1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C51" i="2"/>
  <c r="O50" i="2"/>
  <c r="C50" i="2"/>
  <c r="O49" i="2"/>
  <c r="C49" i="2"/>
  <c r="O48" i="2"/>
  <c r="C48" i="2"/>
  <c r="O47" i="2"/>
  <c r="C47" i="2"/>
  <c r="O46" i="2"/>
  <c r="C46" i="2"/>
  <c r="O45" i="2"/>
  <c r="C45" i="2"/>
  <c r="O44" i="2"/>
  <c r="C44" i="2"/>
  <c r="O43" i="2"/>
  <c r="C43" i="2"/>
  <c r="O42" i="2"/>
  <c r="C42" i="2"/>
  <c r="O41" i="2"/>
  <c r="C41" i="2"/>
  <c r="O40" i="2"/>
  <c r="C40" i="2"/>
  <c r="O39" i="2"/>
  <c r="C39" i="2"/>
  <c r="O38" i="2"/>
  <c r="C38" i="2"/>
  <c r="O37" i="2"/>
  <c r="C37" i="2"/>
  <c r="O36" i="2"/>
  <c r="C36" i="2"/>
  <c r="O35" i="2"/>
  <c r="C35" i="2"/>
  <c r="O34" i="2"/>
  <c r="C34" i="2"/>
  <c r="O33" i="2"/>
  <c r="C33" i="2"/>
  <c r="O32" i="2"/>
  <c r="C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R2" i="2"/>
  <c r="Q2" i="2"/>
  <c r="O1" i="2"/>
</calcChain>
</file>

<file path=xl/sharedStrings.xml><?xml version="1.0" encoding="utf-8"?>
<sst xmlns="http://schemas.openxmlformats.org/spreadsheetml/2006/main" count="937" uniqueCount="640">
  <si>
    <t>RCD</t>
  </si>
  <si>
    <t>Cat</t>
  </si>
  <si>
    <t>Team</t>
  </si>
  <si>
    <t>Bekrachtiging</t>
  </si>
  <si>
    <t>Gebied</t>
  </si>
  <si>
    <t>Afdeling</t>
  </si>
  <si>
    <t>Reden</t>
  </si>
  <si>
    <t>Werkzaamheden</t>
  </si>
  <si>
    <t>Werkwijze</t>
  </si>
  <si>
    <t>Gereedschappen / equipment</t>
  </si>
  <si>
    <t>Bijlage(n)</t>
  </si>
  <si>
    <t>Ruimte</t>
  </si>
  <si>
    <t>Omschrijving</t>
  </si>
  <si>
    <t>SPLITSEN FORMULE</t>
  </si>
  <si>
    <t>HHL</t>
  </si>
  <si>
    <t>A</t>
  </si>
  <si>
    <t>Gebiedseigenaar</t>
  </si>
  <si>
    <t>0.001 Ontvangsthal</t>
  </si>
  <si>
    <t>HHM</t>
  </si>
  <si>
    <t>B</t>
  </si>
  <si>
    <t>BAM Bouw</t>
  </si>
  <si>
    <t>Kantoor</t>
  </si>
  <si>
    <t>Entree</t>
  </si>
  <si>
    <t>Aanleg</t>
  </si>
  <si>
    <t>Beveiligingstechniek</t>
  </si>
  <si>
    <t>Autogeen lassen</t>
  </si>
  <si>
    <t>Aggregaat</t>
  </si>
  <si>
    <t>N/A</t>
  </si>
  <si>
    <t>Alg</t>
  </si>
  <si>
    <t>Outbound</t>
  </si>
  <si>
    <t>HHK</t>
  </si>
  <si>
    <t>C</t>
  </si>
  <si>
    <t>BAM Infra</t>
  </si>
  <si>
    <t>Facility gebied</t>
  </si>
  <si>
    <t>Productie A</t>
  </si>
  <si>
    <t>Gebouw 10</t>
  </si>
  <si>
    <t>Aanpassing</t>
  </si>
  <si>
    <t>Bouwkundig</t>
  </si>
  <si>
    <t>Betreden Besloten Ruimte</t>
  </si>
  <si>
    <t>Elektrisch handgereedschap</t>
  </si>
  <si>
    <t>Af- en inschakelplan</t>
  </si>
  <si>
    <t>Inbound</t>
  </si>
  <si>
    <t>HML</t>
  </si>
  <si>
    <t>Flowserve</t>
  </si>
  <si>
    <t>TD gebied</t>
  </si>
  <si>
    <t>Productie B</t>
  </si>
  <si>
    <t>Gebouw 20</t>
  </si>
  <si>
    <t>Gepland werk</t>
  </si>
  <si>
    <t>Fundatie</t>
  </si>
  <si>
    <t>Boren</t>
  </si>
  <si>
    <t>Handgereedschap</t>
  </si>
  <si>
    <t>Hijsplan</t>
  </si>
  <si>
    <t>00.0.00</t>
  </si>
  <si>
    <t>Fietsenhok</t>
  </si>
  <si>
    <t>HMM</t>
  </si>
  <si>
    <t>GOM</t>
  </si>
  <si>
    <t>Magazijn</t>
  </si>
  <si>
    <t>Productie C</t>
  </si>
  <si>
    <t>Gebouw 30</t>
  </si>
  <si>
    <t>Inspectie</t>
  </si>
  <si>
    <t>Infrastructuur</t>
  </si>
  <si>
    <t>Branden</t>
  </si>
  <si>
    <t>Hangbak</t>
  </si>
  <si>
    <t>LOTOTO plan</t>
  </si>
  <si>
    <t>00.0.55</t>
  </si>
  <si>
    <t>Parkeerplaats</t>
  </si>
  <si>
    <t>HMK</t>
  </si>
  <si>
    <t>D</t>
  </si>
  <si>
    <t>HAK</t>
  </si>
  <si>
    <t>Productie gebied</t>
  </si>
  <si>
    <t>Gebouw 40</t>
  </si>
  <si>
    <t>Installatie</t>
  </si>
  <si>
    <t>Installatietechniek (GWE)</t>
  </si>
  <si>
    <t>Elektrisch lassen</t>
  </si>
  <si>
    <t>Hangsteiger</t>
  </si>
  <si>
    <t>SDS / produkt informatie blad</t>
  </si>
  <si>
    <t>00.0.56</t>
  </si>
  <si>
    <t>Laadkuil</t>
  </si>
  <si>
    <t>HLL</t>
  </si>
  <si>
    <t>Heijmans</t>
  </si>
  <si>
    <t>Project gebied</t>
  </si>
  <si>
    <t>Buitenterrein</t>
  </si>
  <si>
    <t>Gebouw 50</t>
  </si>
  <si>
    <t>Onderhoud</t>
  </si>
  <si>
    <t>Informatietechniek (IT)</t>
  </si>
  <si>
    <t>Elektrische werkzaamheden</t>
  </si>
  <si>
    <t>Heftruck</t>
  </si>
  <si>
    <t>Situatieschets</t>
  </si>
  <si>
    <t>10.0.51</t>
  </si>
  <si>
    <t>Ontvangst</t>
  </si>
  <si>
    <t>HLM</t>
  </si>
  <si>
    <t>Kader</t>
  </si>
  <si>
    <t>Modificatie</t>
  </si>
  <si>
    <t>Schoonmaak</t>
  </si>
  <si>
    <t>Graven (handmatig)</t>
  </si>
  <si>
    <t>Hijskraan</t>
  </si>
  <si>
    <t>Tekening</t>
  </si>
  <si>
    <t>10.0.52</t>
  </si>
  <si>
    <t>Opslag</t>
  </si>
  <si>
    <t>HLK</t>
  </si>
  <si>
    <t>E</t>
  </si>
  <si>
    <t>Kooiker</t>
  </si>
  <si>
    <t>Systeem/installatie eigenaar</t>
  </si>
  <si>
    <t>Inkomende goederen</t>
  </si>
  <si>
    <t>Uitbreiding</t>
  </si>
  <si>
    <t>Transport</t>
  </si>
  <si>
    <t>Graven (machinaal)</t>
  </si>
  <si>
    <t>Hogedrukspuit</t>
  </si>
  <si>
    <t xml:space="preserve">TRA </t>
  </si>
  <si>
    <t>20.0.13</t>
  </si>
  <si>
    <t>Technische werkplaats</t>
  </si>
  <si>
    <t>LHL</t>
  </si>
  <si>
    <t>Siers</t>
  </si>
  <si>
    <t>Uitgaande goederen</t>
  </si>
  <si>
    <t>Reparatie</t>
  </si>
  <si>
    <t>Veiligheidsvoorziening</t>
  </si>
  <si>
    <t>Hijsen en heffen</t>
  </si>
  <si>
    <t>Hoogwerker</t>
  </si>
  <si>
    <t>Method Statement</t>
  </si>
  <si>
    <t>20.0.13a</t>
  </si>
  <si>
    <t>Doorgeefsluis</t>
  </si>
  <si>
    <t>Origineel Nederlands</t>
  </si>
  <si>
    <t>AI - Engels</t>
  </si>
  <si>
    <t>AI - Duits</t>
  </si>
  <si>
    <t>LHM</t>
  </si>
  <si>
    <t>SPIE</t>
  </si>
  <si>
    <t>Facility systeem</t>
  </si>
  <si>
    <t>Technische Ruimte</t>
  </si>
  <si>
    <t>Storing</t>
  </si>
  <si>
    <t>HVAC</t>
  </si>
  <si>
    <t xml:space="preserve">Hogedruk werkzaamheden </t>
  </si>
  <si>
    <t>Ladder</t>
  </si>
  <si>
    <t>Vergunning graafwerkzaamheden</t>
  </si>
  <si>
    <t>20.0.13b</t>
  </si>
  <si>
    <t>Voorportaal TD</t>
  </si>
  <si>
    <t>LHK</t>
  </si>
  <si>
    <t>Unica</t>
  </si>
  <si>
    <t>TD installatie</t>
  </si>
  <si>
    <t>Technische Vloer</t>
  </si>
  <si>
    <t>Werkopname</t>
  </si>
  <si>
    <t>Inspectie werkzaamheden</t>
  </si>
  <si>
    <t>Pneumatisch gereedschap</t>
  </si>
  <si>
    <t xml:space="preserve">Werkinstructie </t>
  </si>
  <si>
    <t>20.0.21</t>
  </si>
  <si>
    <t>Chaufeursontvangst</t>
  </si>
  <si>
    <t>Bicycle Shed</t>
  </si>
  <si>
    <t>Fahrradschuppen</t>
  </si>
  <si>
    <t>LML</t>
  </si>
  <si>
    <t>Wagenborg</t>
  </si>
  <si>
    <t>Productie machine</t>
  </si>
  <si>
    <t>Monteren/demonteren</t>
  </si>
  <si>
    <t>Reformladder</t>
  </si>
  <si>
    <t>20.0.21a</t>
  </si>
  <si>
    <t>Chauffeurs toilet</t>
  </si>
  <si>
    <t>Parking Lot</t>
  </si>
  <si>
    <t>Parkplatz</t>
  </si>
  <si>
    <t>LMM</t>
  </si>
  <si>
    <t>Project installatie</t>
  </si>
  <si>
    <t>Openen van installaties</t>
  </si>
  <si>
    <t>Rolsteiger</t>
  </si>
  <si>
    <t>20.0.24</t>
  </si>
  <si>
    <t>Trafo 1</t>
  </si>
  <si>
    <t>Loading Bay</t>
  </si>
  <si>
    <t>Laderampe</t>
  </si>
  <si>
    <t>LMK</t>
  </si>
  <si>
    <t>F</t>
  </si>
  <si>
    <t>Slijpen</t>
  </si>
  <si>
    <t>Slijptol</t>
  </si>
  <si>
    <t>20.0.25</t>
  </si>
  <si>
    <t>Trafo 2</t>
  </si>
  <si>
    <t>Reception</t>
  </si>
  <si>
    <t>Empfang</t>
  </si>
  <si>
    <t>LLL</t>
  </si>
  <si>
    <t>Meetekenen</t>
  </si>
  <si>
    <t>Sloopwerkzaamheden</t>
  </si>
  <si>
    <t>Steiger (vast)</t>
  </si>
  <si>
    <t>20.0.26</t>
  </si>
  <si>
    <t>Trafo 3</t>
  </si>
  <si>
    <t>Storage</t>
  </si>
  <si>
    <t>Lager</t>
  </si>
  <si>
    <t>LLM</t>
  </si>
  <si>
    <t>Toepassen LoToTo</t>
  </si>
  <si>
    <t>Trap</t>
  </si>
  <si>
    <t>20.0.27</t>
  </si>
  <si>
    <t>Chemicalien opslag</t>
  </si>
  <si>
    <t>Technical Workshop</t>
  </si>
  <si>
    <t>Technische Werkstatt</t>
  </si>
  <si>
    <t>LLK</t>
  </si>
  <si>
    <t>G</t>
  </si>
  <si>
    <t>SHE</t>
  </si>
  <si>
    <t>Werk ATEX ruimtes</t>
  </si>
  <si>
    <t>Verlichting</t>
  </si>
  <si>
    <t>20.0.28</t>
  </si>
  <si>
    <t>Pompruimte</t>
  </si>
  <si>
    <t>Pass-through Lock</t>
  </si>
  <si>
    <t>Übergabeschleuse</t>
  </si>
  <si>
    <t>V&amp;G coördinator</t>
  </si>
  <si>
    <t>Werk op hoogte</t>
  </si>
  <si>
    <t>Waterstofzuiger</t>
  </si>
  <si>
    <t>20.0.29</t>
  </si>
  <si>
    <t xml:space="preserve">Compressorruimte </t>
  </si>
  <si>
    <t>Anteroom TD</t>
  </si>
  <si>
    <t>Vorraum TD</t>
  </si>
  <si>
    <t>Veiligheidskundige</t>
  </si>
  <si>
    <t>Waterzuiger</t>
  </si>
  <si>
    <t>20.0.53</t>
  </si>
  <si>
    <t>Water opslag</t>
  </si>
  <si>
    <t>Driver Reception</t>
  </si>
  <si>
    <t>Fahrerempfang</t>
  </si>
  <si>
    <t>Specialist</t>
  </si>
  <si>
    <t>Werkbak</t>
  </si>
  <si>
    <t>20.0.54</t>
  </si>
  <si>
    <t>Container opslag</t>
  </si>
  <si>
    <t>Driver Toilet</t>
  </si>
  <si>
    <t>Fahrertoilette</t>
  </si>
  <si>
    <t>IV BMC</t>
  </si>
  <si>
    <t>20.1.16</t>
  </si>
  <si>
    <t>Utilities</t>
  </si>
  <si>
    <t>20.0.22</t>
  </si>
  <si>
    <t>Lab</t>
  </si>
  <si>
    <t>Labor</t>
  </si>
  <si>
    <t>IV Elektra</t>
  </si>
  <si>
    <t>20.1.17</t>
  </si>
  <si>
    <t>Spreekkamer</t>
  </si>
  <si>
    <t>20.0.23</t>
  </si>
  <si>
    <t>Utiliteiten gebouw</t>
  </si>
  <si>
    <t>Utilities Building</t>
  </si>
  <si>
    <t>Utilities Gebäude</t>
  </si>
  <si>
    <t>IV Gas</t>
  </si>
  <si>
    <t>20.1.18</t>
  </si>
  <si>
    <t>Opslag utilities</t>
  </si>
  <si>
    <t>Transformer 1</t>
  </si>
  <si>
    <t>IV Water</t>
  </si>
  <si>
    <t>20.1.20</t>
  </si>
  <si>
    <t>Laagspanningsruimte</t>
  </si>
  <si>
    <t>Transformer 2</t>
  </si>
  <si>
    <t>20.1.21</t>
  </si>
  <si>
    <t>MCC ruimte</t>
  </si>
  <si>
    <t>Transformer 3</t>
  </si>
  <si>
    <t>20.1.22</t>
  </si>
  <si>
    <t>Warmtepomp ruimte</t>
  </si>
  <si>
    <t>Chemical Storage</t>
  </si>
  <si>
    <t>Chemikalienlager</t>
  </si>
  <si>
    <t>20.3.04</t>
  </si>
  <si>
    <t>Dak utilities</t>
  </si>
  <si>
    <t>Pump Room</t>
  </si>
  <si>
    <t>Pumpenraum</t>
  </si>
  <si>
    <t>e-mailadressen voor bekrachtiging / goedkeuring</t>
  </si>
  <si>
    <t>30.0.01</t>
  </si>
  <si>
    <t>Entrée</t>
  </si>
  <si>
    <t>Compressorruimte</t>
  </si>
  <si>
    <t>Compressor Room</t>
  </si>
  <si>
    <t>Kompressorraum</t>
  </si>
  <si>
    <t>Cat_nivo</t>
  </si>
  <si>
    <t>Aan</t>
  </si>
  <si>
    <t>CC</t>
  </si>
  <si>
    <t>Vrij</t>
  </si>
  <si>
    <t>Gevaren / Risico's Werk</t>
  </si>
  <si>
    <t>Gevaren / Risico's Omgeving</t>
  </si>
  <si>
    <t>Maatregelen Verstrekker</t>
  </si>
  <si>
    <t>Maatregelen Houder</t>
  </si>
  <si>
    <t>PBM</t>
  </si>
  <si>
    <t>30.0.02</t>
  </si>
  <si>
    <t>Vergaderruimte</t>
  </si>
  <si>
    <t>Water Storage</t>
  </si>
  <si>
    <t>Wasserlager</t>
  </si>
  <si>
    <t>Risico</t>
  </si>
  <si>
    <t>MailFacilityGeb</t>
  </si>
  <si>
    <t>MailFacilityGeb.cc</t>
  </si>
  <si>
    <t>30.0.03</t>
  </si>
  <si>
    <t>Garderobe</t>
  </si>
  <si>
    <t>Container Storage</t>
  </si>
  <si>
    <t>Containerlager</t>
  </si>
  <si>
    <t>Hoog</t>
  </si>
  <si>
    <t>MailTDGeb</t>
  </si>
  <si>
    <t>MailTDGeb.cc</t>
  </si>
  <si>
    <t>30.0.30</t>
  </si>
  <si>
    <t>Voorportaal lift/MAL</t>
  </si>
  <si>
    <t>Laag</t>
  </si>
  <si>
    <t>MailMagazijn</t>
  </si>
  <si>
    <t>MailMagazijn.cc</t>
  </si>
  <si>
    <t>Beknelling</t>
  </si>
  <si>
    <t>3 of meer partijen op 1 werk.</t>
  </si>
  <si>
    <t>Apparatuur elektrisch blokkeren, nr:</t>
  </si>
  <si>
    <t>Aanbrengen van aarding</t>
  </si>
  <si>
    <t>Ademlucht</t>
  </si>
  <si>
    <t>30.0.31</t>
  </si>
  <si>
    <t>Lift</t>
  </si>
  <si>
    <t>Meeting Room</t>
  </si>
  <si>
    <t>Sprechzimmer</t>
  </si>
  <si>
    <t>Complexiteit</t>
  </si>
  <si>
    <t>MailProductieGeb</t>
  </si>
  <si>
    <t>MailProductie.cc</t>
  </si>
  <si>
    <t>Brandgevaar/ verbranding</t>
  </si>
  <si>
    <t>Asbest</t>
  </si>
  <si>
    <t>Apparatuur elektrisch vrijschakelen, nr:</t>
  </si>
  <si>
    <t>Blusmiddelen, tw:</t>
  </si>
  <si>
    <t>Brandvertragende kleding</t>
  </si>
  <si>
    <t>30.1.01</t>
  </si>
  <si>
    <t>Gang</t>
  </si>
  <si>
    <t>Utilities Storage</t>
  </si>
  <si>
    <t>Utilities Lager</t>
  </si>
  <si>
    <t>MailProjectGeb</t>
  </si>
  <si>
    <t>MailProject.cc</t>
  </si>
  <si>
    <t>Draaiende machines</t>
  </si>
  <si>
    <t>Apparatuur mechanisch blokkeren</t>
  </si>
  <si>
    <t>Brandwacht inzetten</t>
  </si>
  <si>
    <t>Filterbus A</t>
  </si>
  <si>
    <t>30.1.02</t>
  </si>
  <si>
    <t>Pauzeruimte</t>
  </si>
  <si>
    <t>Low Voltage Room</t>
  </si>
  <si>
    <t>Niederspannungsraum</t>
  </si>
  <si>
    <t>Middel</t>
  </si>
  <si>
    <t>Hoge druk</t>
  </si>
  <si>
    <t>Giftige en gevaarlijke stoffen</t>
  </si>
  <si>
    <t>Besloten ruimte (entry tag aanbrengen)</t>
  </si>
  <si>
    <t>Brandwaterslang gereed met straalpijp</t>
  </si>
  <si>
    <t>Filterbus ABEK-P3</t>
  </si>
  <si>
    <t>30.1.03</t>
  </si>
  <si>
    <t>Kleedruimte ♂ MHAW ♂</t>
  </si>
  <si>
    <t>MCC Room</t>
  </si>
  <si>
    <t>MCC Raum</t>
  </si>
  <si>
    <t>MailFacilitySys</t>
  </si>
  <si>
    <t>MailFacilitySys.cc</t>
  </si>
  <si>
    <t>Lawaai / Geluid &gt; 80 dB</t>
  </si>
  <si>
    <t>Hoge druk leidingen</t>
  </si>
  <si>
    <t>Controle omgeving op brandbaar materiaal</t>
  </si>
  <si>
    <t>Communicatiemiddelen, tw:</t>
  </si>
  <si>
    <t>Filterbus ABEK-P3-Hg</t>
  </si>
  <si>
    <t>30.1.03a</t>
  </si>
  <si>
    <t>Toilet ♂</t>
  </si>
  <si>
    <t>Heat Pump Room</t>
  </si>
  <si>
    <t>Wärmepumpenraum</t>
  </si>
  <si>
    <t>Duur</t>
  </si>
  <si>
    <t>MailTDInstal</t>
  </si>
  <si>
    <t>MailTDInstal.cc</t>
  </si>
  <si>
    <t>Ontploffing</t>
  </si>
  <si>
    <t>Intern transport</t>
  </si>
  <si>
    <t>Controleren op toxische/agressieve stoffen</t>
  </si>
  <si>
    <t>Controleren steiger(s)</t>
  </si>
  <si>
    <t>Filterbus AX</t>
  </si>
  <si>
    <t>30.1.03b</t>
  </si>
  <si>
    <t>Douche ♂</t>
  </si>
  <si>
    <t>Roof Utilities</t>
  </si>
  <si>
    <t>Dach Utilities</t>
  </si>
  <si>
    <t>Lang</t>
  </si>
  <si>
    <t>MailProductieMach</t>
  </si>
  <si>
    <t>MailProductieMach.cc</t>
  </si>
  <si>
    <t>Onwelwording</t>
  </si>
  <si>
    <t>Klimaat (koude/ warme/ vochtige werkomgeving).</t>
  </si>
  <si>
    <t>Flenzen labelen</t>
  </si>
  <si>
    <t>Gebruik veilige spanningen (max. 42 volt)</t>
  </si>
  <si>
    <t>Reflecterende kleding</t>
  </si>
  <si>
    <t>30.1.04</t>
  </si>
  <si>
    <t>Kleedruimte ♀ MHAW ♀</t>
  </si>
  <si>
    <t>Entrance</t>
  </si>
  <si>
    <t>Eingang</t>
  </si>
  <si>
    <t>MailProjectInstal</t>
  </si>
  <si>
    <t>MailProjectInstal.cc</t>
  </si>
  <si>
    <t>Keuze</t>
  </si>
  <si>
    <t>Restenergie</t>
  </si>
  <si>
    <t>Lekkende leidingen</t>
  </si>
  <si>
    <t>Milieubeschermende maatregelen</t>
  </si>
  <si>
    <t>Geforceerde ventilatie</t>
  </si>
  <si>
    <t>Gelaatscherm</t>
  </si>
  <si>
    <t>30.1.04a</t>
  </si>
  <si>
    <t>Toilet ♀</t>
  </si>
  <si>
    <t>Besprechungsraum</t>
  </si>
  <si>
    <t>Kort</t>
  </si>
  <si>
    <t>Stof</t>
  </si>
  <si>
    <t>Moeilijke aanvoer van materialen (belemmeren vluchtwegen).</t>
  </si>
  <si>
    <t>Overbruggingsverklaring, nr:</t>
  </si>
  <si>
    <t>LOTOTO</t>
  </si>
  <si>
    <t>Helm</t>
  </si>
  <si>
    <t>30.1.04b</t>
  </si>
  <si>
    <t xml:space="preserve">Douche ♀ </t>
  </si>
  <si>
    <t>Cloakroom</t>
  </si>
  <si>
    <t>MailSHE</t>
  </si>
  <si>
    <t>MailSHE.cc</t>
  </si>
  <si>
    <t>X</t>
  </si>
  <si>
    <t>Stoom</t>
  </si>
  <si>
    <t>Omgevingstemperatuur</t>
  </si>
  <si>
    <t>Systeem afkoppelen</t>
  </si>
  <si>
    <t>Mangatwacht inzetten</t>
  </si>
  <si>
    <t>Lasbril</t>
  </si>
  <si>
    <t>40.0.17</t>
  </si>
  <si>
    <t>Acculaadruimte</t>
  </si>
  <si>
    <t>30.0.08</t>
  </si>
  <si>
    <t>Natte productie</t>
  </si>
  <si>
    <t>Wet Production</t>
  </si>
  <si>
    <t>Nasse Produktion</t>
  </si>
  <si>
    <t>MailVG</t>
  </si>
  <si>
    <t>MailVG.cc</t>
  </si>
  <si>
    <t>-</t>
  </si>
  <si>
    <t>Valgevaar</t>
  </si>
  <si>
    <t>Pructieomgeving (tussen producerende machines/ installaties).</t>
  </si>
  <si>
    <t>Systeem afsteken</t>
  </si>
  <si>
    <t>Putten, goten en/of riool afdekken &lt; 11 mtr.</t>
  </si>
  <si>
    <t>Laskap</t>
  </si>
  <si>
    <t>40.0.32</t>
  </si>
  <si>
    <t>Voorportaal trappenhuis</t>
  </si>
  <si>
    <t>30.0.09</t>
  </si>
  <si>
    <t>Indamper</t>
  </si>
  <si>
    <t>Evaporator</t>
  </si>
  <si>
    <t>Verdampfer</t>
  </si>
  <si>
    <t>MailVK</t>
  </si>
  <si>
    <t>MailVK.cc</t>
  </si>
  <si>
    <t>Vallende materialen</t>
  </si>
  <si>
    <t>Slecht licht</t>
  </si>
  <si>
    <t>Systeem aftappen</t>
  </si>
  <si>
    <t>Randbeveiliging, tw:</t>
  </si>
  <si>
    <t>Oorkappen (25 dB(A) )</t>
  </si>
  <si>
    <t>40.0.33</t>
  </si>
  <si>
    <t>Opslag verpakkingsruimte</t>
  </si>
  <si>
    <t>30.0.09a</t>
  </si>
  <si>
    <t>Indamper (vide)</t>
  </si>
  <si>
    <t>Evaporator (Mezzanine)</t>
  </si>
  <si>
    <t>Verdampfer (Zwischengeschoss)</t>
  </si>
  <si>
    <t>MailSpecialist</t>
  </si>
  <si>
    <t>MailSpecialist.cc</t>
  </si>
  <si>
    <t>Verspanende materialen</t>
  </si>
  <si>
    <t>Slecht of geen toegankelijkheid zonder hulpmiddelen (dak/ kelder/ besloten ruimte).</t>
  </si>
  <si>
    <t>Systeem drukvrij maken</t>
  </si>
  <si>
    <t>Vonkafscherming gebruiken</t>
  </si>
  <si>
    <t>Oorpluggen (10 dB(A) )</t>
  </si>
  <si>
    <t>40.0.34</t>
  </si>
  <si>
    <t>HVAC verpakkingsruimte</t>
  </si>
  <si>
    <t>30.0.09b</t>
  </si>
  <si>
    <t>MailIVBMC</t>
  </si>
  <si>
    <t>MailIVBMC.cc</t>
  </si>
  <si>
    <t>Verstikking</t>
  </si>
  <si>
    <t>Stoom / heet water</t>
  </si>
  <si>
    <t>Systeem inblokken</t>
  </si>
  <si>
    <t>Vonkvrij gereedschap</t>
  </si>
  <si>
    <t>Otoplastieken (25 dB(A) )</t>
  </si>
  <si>
    <t>40.0.35</t>
  </si>
  <si>
    <t>Voorportaal</t>
  </si>
  <si>
    <t>30.0.09c</t>
  </si>
  <si>
    <t>MailIVElektra</t>
  </si>
  <si>
    <t>MailIVElektra.cc</t>
  </si>
  <si>
    <t>Wegspringende materialen</t>
  </si>
  <si>
    <t>Struikelen uitglijden</t>
  </si>
  <si>
    <t>Systeem produktvrij maken</t>
  </si>
  <si>
    <t>Voor aanvang werk melden bij:</t>
  </si>
  <si>
    <t>Persoonlijke gasmeter</t>
  </si>
  <si>
    <t>40.1.05</t>
  </si>
  <si>
    <t>Trappenhuis NFA</t>
  </si>
  <si>
    <t>30.0.09d</t>
  </si>
  <si>
    <t>MailIVGas</t>
  </si>
  <si>
    <t>MailIVGas.cc</t>
  </si>
  <si>
    <t>Werken op hoogte</t>
  </si>
  <si>
    <t>Vallende voorwerpen</t>
  </si>
  <si>
    <t>Systeem spoelen</t>
  </si>
  <si>
    <t>Werkplek afzetten</t>
  </si>
  <si>
    <t>Ruimzicht / overzetbril</t>
  </si>
  <si>
    <t>40.1.06</t>
  </si>
  <si>
    <t>Trappenhuis HHA</t>
  </si>
  <si>
    <t>30.0.10</t>
  </si>
  <si>
    <t>CIP ruimte</t>
  </si>
  <si>
    <t>CIP Room</t>
  </si>
  <si>
    <t>CIP Raum</t>
  </si>
  <si>
    <t>MailIVWater</t>
  </si>
  <si>
    <t>MailIVWater.cc</t>
  </si>
  <si>
    <t>Verbranden / bevriezen</t>
  </si>
  <si>
    <t>Systeem stomen</t>
  </si>
  <si>
    <t>Werkplek beveiligen tegen valgevaar</t>
  </si>
  <si>
    <t>Stofkapje P3</t>
  </si>
  <si>
    <t>40.1.07</t>
  </si>
  <si>
    <t>Controle kamer</t>
  </si>
  <si>
    <t>30.0.11</t>
  </si>
  <si>
    <t>MAL</t>
  </si>
  <si>
    <t>Vervuilde grond</t>
  </si>
  <si>
    <t>Systeem ventileren</t>
  </si>
  <si>
    <t>Werkplek en/of werkstuk nathouden</t>
  </si>
  <si>
    <t>Stofpak</t>
  </si>
  <si>
    <t>40.1.08</t>
  </si>
  <si>
    <t>Laboratorium</t>
  </si>
  <si>
    <t>Anteroom Elevator/MAL</t>
  </si>
  <si>
    <t>Vorraum Aufzug/MAL</t>
  </si>
  <si>
    <t>^^ Link met D3-D15 ^^</t>
  </si>
  <si>
    <t>TIP! Denk ook aan gebruik van evt. 'bulk-adressen.'</t>
  </si>
  <si>
    <t>Werk in gebied met (veel) verkeer en transport.</t>
  </si>
  <si>
    <t>Verzamelplaats:</t>
  </si>
  <si>
    <t>Stootcap</t>
  </si>
  <si>
    <t>30.1.19</t>
  </si>
  <si>
    <t>Elevator</t>
  </si>
  <si>
    <t>Aufzug</t>
  </si>
  <si>
    <t>Zekeringen getrokken</t>
  </si>
  <si>
    <t>Valgordel</t>
  </si>
  <si>
    <t>30.1.24</t>
  </si>
  <si>
    <t>Corridor</t>
  </si>
  <si>
    <t>Flur</t>
  </si>
  <si>
    <t>Veiligheidsschoenen</t>
  </si>
  <si>
    <t>30.1.25</t>
  </si>
  <si>
    <t>Break Room</t>
  </si>
  <si>
    <t>Pausenraum</t>
  </si>
  <si>
    <t>Vluchtmasker</t>
  </si>
  <si>
    <t>30.6.01</t>
  </si>
  <si>
    <t>Changing Room ♂ MHAW ♂</t>
  </si>
  <si>
    <t>Umkleideraum ♂ MHAW ♂</t>
  </si>
  <si>
    <t>Volgelaatsmasker</t>
  </si>
  <si>
    <t>40.0.04</t>
  </si>
  <si>
    <t>Toilette ♂</t>
  </si>
  <si>
    <t>Werkhandschoenen (nauwsluitend)</t>
  </si>
  <si>
    <t>40.0.05</t>
  </si>
  <si>
    <t>Shower ♂</t>
  </si>
  <si>
    <t>Dusche ♂</t>
  </si>
  <si>
    <t>40.0.06</t>
  </si>
  <si>
    <t>Changing Room ♀ MHAW ♀</t>
  </si>
  <si>
    <t>Umkleideraum ♀ MHAW ♀</t>
  </si>
  <si>
    <t>40.0.07</t>
  </si>
  <si>
    <t>Toilette ♀</t>
  </si>
  <si>
    <t>40.0.12</t>
  </si>
  <si>
    <t>Douche ♀</t>
  </si>
  <si>
    <t>Shower ♀</t>
  </si>
  <si>
    <t>Dusche ♀</t>
  </si>
  <si>
    <t>40.0.14</t>
  </si>
  <si>
    <t>Bevoorraadingsingang</t>
  </si>
  <si>
    <t>Supply Entrance</t>
  </si>
  <si>
    <t>Lieferanteneingang</t>
  </si>
  <si>
    <t>40.0.15</t>
  </si>
  <si>
    <t>Gang TRSD</t>
  </si>
  <si>
    <t>Corridor TRSD</t>
  </si>
  <si>
    <t>Flur TRSD</t>
  </si>
  <si>
    <t>40.0.16</t>
  </si>
  <si>
    <t>Gang bevoorraading</t>
  </si>
  <si>
    <t>Supply Corridor</t>
  </si>
  <si>
    <t>Flur Versorgung</t>
  </si>
  <si>
    <t>Dak verdamper</t>
  </si>
  <si>
    <t>Roof Evaporator</t>
  </si>
  <si>
    <t>Dach Verdampfer</t>
  </si>
  <si>
    <t>Monsterruimte</t>
  </si>
  <si>
    <t>Sample Room</t>
  </si>
  <si>
    <t>Probenraum</t>
  </si>
  <si>
    <t>Stairwell NFA</t>
  </si>
  <si>
    <t>Treppenhaus NFA</t>
  </si>
  <si>
    <t>Stairwell HHA</t>
  </si>
  <si>
    <t>Treppenhaus HHA</t>
  </si>
  <si>
    <t>Feed ruimte</t>
  </si>
  <si>
    <t>Feed Room</t>
  </si>
  <si>
    <t>Feed Raum</t>
  </si>
  <si>
    <t>Verpakkingsruimte</t>
  </si>
  <si>
    <t>Packaging Room</t>
  </si>
  <si>
    <t>Verpackungsraum</t>
  </si>
  <si>
    <t>Big bag vulruimte</t>
  </si>
  <si>
    <t>Big Bag Filling Room</t>
  </si>
  <si>
    <t>Big-Bag-Füllraum</t>
  </si>
  <si>
    <t>40.1.09</t>
  </si>
  <si>
    <t>Battery Charging Room</t>
  </si>
  <si>
    <t>Batterieladeraum</t>
  </si>
  <si>
    <t>40.1.10</t>
  </si>
  <si>
    <t>Anteroom Stairwell</t>
  </si>
  <si>
    <t>Vorraum Treppenhaus</t>
  </si>
  <si>
    <t>40.1.11</t>
  </si>
  <si>
    <t>Storage Packaging Room</t>
  </si>
  <si>
    <t>Lager Verpackungsraum</t>
  </si>
  <si>
    <t>40.1.11a</t>
  </si>
  <si>
    <t>HVAC Packaging Room</t>
  </si>
  <si>
    <t>HVAC Verpackungsraum</t>
  </si>
  <si>
    <t>40.1.12</t>
  </si>
  <si>
    <t>Anteroom</t>
  </si>
  <si>
    <t>Vorraum</t>
  </si>
  <si>
    <t>40.1.13</t>
  </si>
  <si>
    <t>40.1.14</t>
  </si>
  <si>
    <t>40.1.23</t>
  </si>
  <si>
    <t>Control Room</t>
  </si>
  <si>
    <t>Kontrollraum</t>
  </si>
  <si>
    <t>40.2.01</t>
  </si>
  <si>
    <t>Laboratory</t>
  </si>
  <si>
    <t>40.2.02</t>
  </si>
  <si>
    <t>Poeder opslag</t>
  </si>
  <si>
    <t>Powder Storage</t>
  </si>
  <si>
    <t>Pulverlager</t>
  </si>
  <si>
    <t>40.2.03</t>
  </si>
  <si>
    <t>Sproeidroger</t>
  </si>
  <si>
    <t>Spray Dryer</t>
  </si>
  <si>
    <t>Sprühtrockner</t>
  </si>
  <si>
    <t>40.2.04</t>
  </si>
  <si>
    <t>Technische ruimte sproeidroger</t>
  </si>
  <si>
    <t>Technical Room Spray Dryer</t>
  </si>
  <si>
    <t>Technikraum Sprühtrockner</t>
  </si>
  <si>
    <t>40.2.05</t>
  </si>
  <si>
    <t>Laag spanningsruimte sproeidroger</t>
  </si>
  <si>
    <t>Low Voltage Room Spray Dryer</t>
  </si>
  <si>
    <t>Niederspannungsraum Sprühtrockner</t>
  </si>
  <si>
    <t>40.2.06</t>
  </si>
  <si>
    <t>Kleedruimte MHAW - HHA ♂/♀</t>
  </si>
  <si>
    <t>Changing Room MHAW - HHA ♂/♀</t>
  </si>
  <si>
    <t>Umkleideraum MHAW - HHA ♂/♀</t>
  </si>
  <si>
    <t>40.3.01</t>
  </si>
  <si>
    <t>40.3.02</t>
  </si>
  <si>
    <t>Kleedruimte BHA ♂/♀</t>
  </si>
  <si>
    <t>Changing Room BHA ♂/♀</t>
  </si>
  <si>
    <t>Umkleideraum BHA ♂/♀</t>
  </si>
  <si>
    <t>40.3.03</t>
  </si>
  <si>
    <t>Gang trappenhuis</t>
  </si>
  <si>
    <t>Corridor Stairwell</t>
  </si>
  <si>
    <t>Flur Treppenhaus</t>
  </si>
  <si>
    <t>40.4.01</t>
  </si>
  <si>
    <t>Bag filter ruimte</t>
  </si>
  <si>
    <t>Bag Filter Room</t>
  </si>
  <si>
    <t>Bag Filter Raum</t>
  </si>
  <si>
    <t>40.4.02</t>
  </si>
  <si>
    <t>40.4.03</t>
  </si>
  <si>
    <t>40.4.04</t>
  </si>
  <si>
    <t>40.4.05</t>
  </si>
  <si>
    <t>40.4.06</t>
  </si>
  <si>
    <t>40.4.07</t>
  </si>
  <si>
    <t>40.5.01</t>
  </si>
  <si>
    <t>Ventilatorruimte</t>
  </si>
  <si>
    <t>Fan Room</t>
  </si>
  <si>
    <t>Ventilatorraum</t>
  </si>
  <si>
    <t>40.5.02</t>
  </si>
  <si>
    <t>40.5.03</t>
  </si>
  <si>
    <t>40.5.04</t>
  </si>
  <si>
    <t>40.5.05</t>
  </si>
  <si>
    <t>40.5.06</t>
  </si>
  <si>
    <t>40.5.07</t>
  </si>
  <si>
    <t>40.6.02</t>
  </si>
  <si>
    <t>45.1.15</t>
  </si>
  <si>
    <t>45.3.05</t>
  </si>
  <si>
    <t>50.0.18</t>
  </si>
  <si>
    <t>50.0.19</t>
  </si>
  <si>
    <t>Sproeidroger (bovenkant toren)</t>
  </si>
  <si>
    <t>Spray Dryer (Top of Tower)</t>
  </si>
  <si>
    <t>Sprühtrockner (Turmspitze)</t>
  </si>
  <si>
    <t>50.0.20</t>
  </si>
  <si>
    <t>50.3.06</t>
  </si>
  <si>
    <t>Dak droger</t>
  </si>
  <si>
    <t>Roof Dryer</t>
  </si>
  <si>
    <t>Dach Trockner</t>
  </si>
  <si>
    <t>HVAC HHA</t>
  </si>
  <si>
    <t>Dak HVAC</t>
  </si>
  <si>
    <t>Roof HVAC</t>
  </si>
  <si>
    <t>Dach HVAC</t>
  </si>
  <si>
    <t>Warehouse</t>
  </si>
  <si>
    <t>Magazin</t>
  </si>
  <si>
    <t>Dak magazijn</t>
  </si>
  <si>
    <t>Roof Warehouse</t>
  </si>
  <si>
    <t>Dach Magazin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</si>
</sst>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rgb="FF212529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EFABE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90">
    <xf numFmtId="0" fontId="0" fillId="0" borderId="0" xfId="0"/>
    <xf numFmtId="0" fontId="4" fillId="0" borderId="1" xfId="1" applyFont="1" applyBorder="1"/>
    <xf numFmtId="0" fontId="4" fillId="0" borderId="2" xfId="1" applyFont="1" applyBorder="1"/>
    <xf numFmtId="0" fontId="5" fillId="0" borderId="3" xfId="1" applyFont="1" applyBorder="1"/>
    <xf numFmtId="0" fontId="5" fillId="0" borderId="3" xfId="1" applyFont="1" applyBorder="1" applyAlignment="1">
      <alignment horizontal="left"/>
    </xf>
    <xf numFmtId="0" fontId="5" fillId="0" borderId="3" xfId="1" applyFont="1" applyBorder="1" applyAlignment="1">
      <alignment wrapText="1"/>
    </xf>
    <xf numFmtId="0" fontId="3" fillId="0" borderId="0" xfId="1"/>
    <xf numFmtId="0" fontId="2" fillId="0" borderId="4" xfId="2" applyFont="1" applyBorder="1"/>
    <xf numFmtId="0" fontId="2" fillId="2" borderId="5" xfId="2" applyFont="1" applyFill="1" applyBorder="1"/>
    <xf numFmtId="0" fontId="1" fillId="2" borderId="4" xfId="2" applyFill="1" applyBorder="1"/>
    <xf numFmtId="0" fontId="6" fillId="0" borderId="6" xfId="1" applyFont="1" applyBorder="1"/>
    <xf numFmtId="0" fontId="6" fillId="0" borderId="7" xfId="1" applyFont="1" applyBorder="1"/>
    <xf numFmtId="0" fontId="6" fillId="3" borderId="8" xfId="1" applyFont="1" applyFill="1" applyBorder="1"/>
    <xf numFmtId="0" fontId="7" fillId="0" borderId="9" xfId="1" applyFont="1" applyBorder="1"/>
    <xf numFmtId="0" fontId="6" fillId="3" borderId="10" xfId="1" applyFont="1" applyFill="1" applyBorder="1"/>
    <xf numFmtId="0" fontId="6" fillId="3" borderId="9" xfId="1" applyFont="1" applyFill="1" applyBorder="1"/>
    <xf numFmtId="0" fontId="6" fillId="3" borderId="8" xfId="1" quotePrefix="1" applyFont="1" applyFill="1" applyBorder="1"/>
    <xf numFmtId="0" fontId="3" fillId="3" borderId="11" xfId="1" applyFill="1" applyBorder="1"/>
    <xf numFmtId="0" fontId="3" fillId="3" borderId="0" xfId="1" applyFill="1"/>
    <xf numFmtId="0" fontId="3" fillId="0" borderId="12" xfId="1" applyBorder="1"/>
    <xf numFmtId="0" fontId="1" fillId="2" borderId="5" xfId="2" applyFill="1" applyBorder="1"/>
    <xf numFmtId="0" fontId="1" fillId="2" borderId="4" xfId="2" applyFill="1" applyBorder="1" applyProtection="1">
      <protection locked="0"/>
    </xf>
    <xf numFmtId="0" fontId="6" fillId="0" borderId="13" xfId="1" applyFont="1" applyBorder="1"/>
    <xf numFmtId="0" fontId="6" fillId="0" borderId="14" xfId="1" applyFont="1" applyBorder="1"/>
    <xf numFmtId="0" fontId="6" fillId="3" borderId="10" xfId="1" applyFont="1" applyFill="1" applyBorder="1" applyProtection="1">
      <protection locked="0"/>
    </xf>
    <xf numFmtId="0" fontId="6" fillId="3" borderId="10" xfId="1" quotePrefix="1" applyFont="1" applyFill="1" applyBorder="1" applyProtection="1">
      <protection locked="0"/>
    </xf>
    <xf numFmtId="49" fontId="6" fillId="3" borderId="10" xfId="1" quotePrefix="1" applyNumberFormat="1" applyFont="1" applyFill="1" applyBorder="1" applyProtection="1">
      <protection locked="0"/>
    </xf>
    <xf numFmtId="0" fontId="1" fillId="3" borderId="11" xfId="2" applyFill="1" applyBorder="1" applyProtection="1">
      <protection locked="0"/>
    </xf>
    <xf numFmtId="0" fontId="1" fillId="3" borderId="0" xfId="2" applyFill="1" applyProtection="1">
      <protection locked="0"/>
    </xf>
    <xf numFmtId="0" fontId="1" fillId="0" borderId="12" xfId="2" applyBorder="1"/>
    <xf numFmtId="0" fontId="1" fillId="0" borderId="0" xfId="2"/>
    <xf numFmtId="0" fontId="7" fillId="0" borderId="10" xfId="1" applyFont="1" applyBorder="1"/>
    <xf numFmtId="0" fontId="8" fillId="2" borderId="0" xfId="1" applyFont="1" applyFill="1"/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49" fontId="6" fillId="3" borderId="10" xfId="1" applyNumberFormat="1" applyFont="1" applyFill="1" applyBorder="1" applyProtection="1">
      <protection locked="0"/>
    </xf>
    <xf numFmtId="49" fontId="6" fillId="0" borderId="10" xfId="1" applyNumberFormat="1" applyFont="1" applyBorder="1"/>
    <xf numFmtId="0" fontId="6" fillId="0" borderId="10" xfId="1" applyFont="1" applyBorder="1"/>
    <xf numFmtId="0" fontId="6" fillId="3" borderId="10" xfId="1" applyFont="1" applyFill="1" applyBorder="1" applyAlignment="1" applyProtection="1">
      <alignment vertical="center"/>
      <protection locked="0"/>
    </xf>
    <xf numFmtId="0" fontId="6" fillId="0" borderId="10" xfId="1" quotePrefix="1" applyFont="1" applyBorder="1"/>
    <xf numFmtId="0" fontId="6" fillId="0" borderId="15" xfId="1" applyFont="1" applyBorder="1"/>
    <xf numFmtId="0" fontId="7" fillId="0" borderId="15" xfId="1" applyFont="1" applyBorder="1"/>
    <xf numFmtId="0" fontId="11" fillId="0" borderId="1" xfId="1" applyFont="1" applyBorder="1"/>
    <xf numFmtId="0" fontId="12" fillId="0" borderId="2" xfId="1" applyFont="1" applyBorder="1"/>
    <xf numFmtId="0" fontId="11" fillId="0" borderId="17" xfId="1" applyFont="1" applyBorder="1"/>
    <xf numFmtId="0" fontId="11" fillId="0" borderId="18" xfId="1" applyFont="1" applyBorder="1"/>
    <xf numFmtId="0" fontId="11" fillId="0" borderId="19" xfId="1" applyFont="1" applyBorder="1"/>
    <xf numFmtId="0" fontId="11" fillId="0" borderId="3" xfId="1" applyFont="1" applyBorder="1" applyProtection="1">
      <protection locked="0"/>
    </xf>
    <xf numFmtId="0" fontId="11" fillId="0" borderId="3" xfId="1" applyFont="1" applyBorder="1" applyAlignment="1">
      <alignment wrapText="1"/>
    </xf>
    <xf numFmtId="0" fontId="7" fillId="0" borderId="6" xfId="1" applyFont="1" applyBorder="1"/>
    <xf numFmtId="0" fontId="6" fillId="0" borderId="20" xfId="1" applyFont="1" applyBorder="1"/>
    <xf numFmtId="49" fontId="6" fillId="3" borderId="21" xfId="1" applyNumberFormat="1" applyFont="1" applyFill="1" applyBorder="1" applyProtection="1">
      <protection locked="0"/>
    </xf>
    <xf numFmtId="49" fontId="6" fillId="3" borderId="22" xfId="1" applyNumberFormat="1" applyFont="1" applyFill="1" applyBorder="1" applyProtection="1">
      <protection locked="0"/>
    </xf>
    <xf numFmtId="0" fontId="6" fillId="3" borderId="9" xfId="1" applyFont="1" applyFill="1" applyBorder="1" applyProtection="1">
      <protection locked="0"/>
    </xf>
    <xf numFmtId="0" fontId="6" fillId="0" borderId="23" xfId="1" applyFont="1" applyBorder="1"/>
    <xf numFmtId="49" fontId="6" fillId="3" borderId="4" xfId="1" applyNumberFormat="1" applyFont="1" applyFill="1" applyBorder="1" applyProtection="1">
      <protection locked="0"/>
    </xf>
    <xf numFmtId="49" fontId="6" fillId="3" borderId="24" xfId="1" applyNumberFormat="1" applyFont="1" applyFill="1" applyBorder="1" applyProtection="1">
      <protection locked="0"/>
    </xf>
    <xf numFmtId="0" fontId="6" fillId="3" borderId="25" xfId="1" quotePrefix="1" applyFont="1" applyFill="1" applyBorder="1" applyProtection="1">
      <protection locked="0"/>
    </xf>
    <xf numFmtId="0" fontId="7" fillId="0" borderId="13" xfId="1" applyFont="1" applyBorder="1"/>
    <xf numFmtId="0" fontId="6" fillId="0" borderId="26" xfId="1" applyFont="1" applyBorder="1"/>
    <xf numFmtId="0" fontId="6" fillId="0" borderId="27" xfId="1" applyFont="1" applyBorder="1"/>
    <xf numFmtId="0" fontId="11" fillId="0" borderId="3" xfId="1" applyFont="1" applyBorder="1"/>
    <xf numFmtId="0" fontId="6" fillId="0" borderId="9" xfId="1" applyFont="1" applyBorder="1"/>
    <xf numFmtId="0" fontId="6" fillId="0" borderId="28" xfId="1" applyFont="1" applyBorder="1"/>
    <xf numFmtId="0" fontId="6" fillId="0" borderId="29" xfId="1" applyFont="1" applyBorder="1"/>
    <xf numFmtId="0" fontId="6" fillId="0" borderId="25" xfId="1" quotePrefix="1" applyFont="1" applyBorder="1"/>
    <xf numFmtId="0" fontId="6" fillId="0" borderId="30" xfId="1" applyFont="1" applyBorder="1"/>
    <xf numFmtId="0" fontId="6" fillId="0" borderId="31" xfId="1" applyFont="1" applyBorder="1"/>
    <xf numFmtId="0" fontId="6" fillId="0" borderId="9" xfId="1" quotePrefix="1" applyFont="1" applyBorder="1"/>
    <xf numFmtId="49" fontId="6" fillId="0" borderId="4" xfId="1" applyNumberFormat="1" applyFont="1" applyBorder="1"/>
    <xf numFmtId="49" fontId="6" fillId="0" borderId="24" xfId="1" applyNumberFormat="1" applyFont="1" applyBorder="1"/>
    <xf numFmtId="0" fontId="6" fillId="3" borderId="15" xfId="1" applyFont="1" applyFill="1" applyBorder="1" applyProtection="1">
      <protection locked="0"/>
    </xf>
    <xf numFmtId="0" fontId="6" fillId="0" borderId="33" xfId="1" applyFont="1" applyBorder="1"/>
    <xf numFmtId="49" fontId="6" fillId="0" borderId="35" xfId="1" applyNumberFormat="1" applyFont="1" applyBorder="1"/>
    <xf numFmtId="49" fontId="6" fillId="0" borderId="36" xfId="1" applyNumberFormat="1" applyFont="1" applyBorder="1"/>
    <xf numFmtId="0" fontId="6" fillId="0" borderId="25" xfId="1" applyFont="1" applyBorder="1"/>
    <xf numFmtId="0" fontId="3" fillId="3" borderId="11" xfId="1" applyFill="1" applyBorder="1" applyProtection="1">
      <protection locked="0"/>
    </xf>
    <xf numFmtId="0" fontId="3" fillId="3" borderId="0" xfId="1" applyFill="1" applyProtection="1">
      <protection locked="0"/>
    </xf>
    <xf numFmtId="0" fontId="1" fillId="3" borderId="37" xfId="2" applyFill="1" applyBorder="1" applyProtection="1">
      <protection locked="0"/>
    </xf>
    <xf numFmtId="0" fontId="1" fillId="3" borderId="38" xfId="2" applyFill="1" applyBorder="1" applyProtection="1">
      <protection locked="0"/>
    </xf>
    <xf numFmtId="0" fontId="1" fillId="0" borderId="39" xfId="2" applyBorder="1"/>
    <xf numFmtId="0" fontId="10" fillId="2" borderId="1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7" fillId="0" borderId="23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49" fontId="13" fillId="0" borderId="32" xfId="1" applyNumberFormat="1" applyFont="1" applyBorder="1" applyAlignment="1">
      <alignment horizontal="center" vertical="center"/>
    </xf>
    <xf numFmtId="49" fontId="13" fillId="0" borderId="14" xfId="1" applyNumberFormat="1" applyFont="1" applyBorder="1" applyAlignment="1">
      <alignment horizontal="center" vertical="center"/>
    </xf>
    <xf numFmtId="49" fontId="13" fillId="0" borderId="34" xfId="1" applyNumberFormat="1" applyFont="1" applyBorder="1" applyAlignment="1">
      <alignment horizontal="center" vertical="center"/>
    </xf>
    <xf numFmtId="49" fontId="13" fillId="0" borderId="29" xfId="1" applyNumberFormat="1" applyFont="1" applyBorder="1" applyAlignment="1">
      <alignment horizontal="center" vertical="center"/>
    </xf>
  </cellXfs>
  <cellStyles count="3">
    <cellStyle name="Standaard" xfId="0" builtinId="0"/>
    <cellStyle name="Standaard 2" xfId="1" xr:uid="{F7B3BD74-5B81-4DAE-B972-CCDDAA327AB9}"/>
    <cellStyle name="Standaard 4" xfId="2" xr:uid="{F591662F-4E87-4193-AAF5-7C32F3214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486833</xdr:colOff>
      <xdr:row>27</xdr:row>
      <xdr:rowOff>74083</xdr:rowOff>
    </xdr:from>
    <xdr:to>
      <xdr:col>3</xdr:col>
      <xdr:colOff>486833</xdr:colOff>
      <xdr:row>30</xdr:row>
      <xdr:rowOff>116417</xdr:rowOff>
    </xdr:to>
    <xdr:cxnSp macro="">
      <xdr:nvCxnSpPr>
        <xdr:cNvPr id="2" name="Rechte verbindingslijn met pijl 1">
          <a:extLst>
            <a:ext uri="{FF2B5EF4-FFF2-40B4-BE49-F238E27FC236}">
              <a16:creationId xmlns:a16="http://schemas.microsoft.com/office/drawing/2014/main" id="{8D17B892-218F-47A6-96B4-16087ADE09C0}"/>
            </a:ext>
          </a:extLst>
        </xdr:cNvPr>
        <xdr:cNvCxnSpPr/>
      </xdr:nvCxnSpPr>
      <xdr:spPr>
        <a:xfrm>
          <a:off x="2915708" y="5236633"/>
          <a:ext cx="0" cy="63288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F513-3CB6-489D-B9B0-A16657F36AB8}">
  <sheetPr codeName="Blad4">
    <pageSetUpPr fitToPage="1"/>
  </sheetPr>
  <dimension ref="A1:V150"/>
  <sheetViews>
    <sheetView tabSelected="1" topLeftCell="A25" zoomScale="90" zoomScaleNormal="90" workbookViewId="0">
      <selection activeCell="H33" sqref="H33:H52"/>
    </sheetView>
  </sheetViews>
  <sheetFormatPr defaultColWidth="8.7109375" defaultRowHeight="12.75" x14ac:dyDescent="0.2"/>
  <cols>
    <col min="1" max="1" width="6" style="6" customWidth="1"/>
    <col min="2" max="2" width="5.7109375" style="6" customWidth="1"/>
    <col min="3" max="4" width="24.7109375" style="6" customWidth="1"/>
    <col min="5" max="5" width="20.7109375" style="6" customWidth="1"/>
    <col min="6" max="6" width="23.140625" style="6" customWidth="1"/>
    <col min="7" max="7" width="26" style="6" customWidth="1"/>
    <col min="8" max="8" width="30.7109375" style="6" customWidth="1"/>
    <col min="9" max="9" width="26.7109375" style="6" customWidth="1"/>
    <col min="10" max="10" width="30.7109375" style="6" customWidth="1"/>
    <col min="11" max="11" width="29.5703125" style="6" customWidth="1"/>
    <col min="12" max="12" width="4.85546875" style="6" customWidth="1"/>
    <col min="13" max="13" width="10.42578125" style="6" customWidth="1"/>
    <col min="14" max="14" width="25.7109375" style="6" customWidth="1"/>
    <col min="15" max="15" width="33" style="6" customWidth="1"/>
    <col min="16" max="16" width="20.28515625" style="6" customWidth="1"/>
    <col min="17" max="17" width="8.7109375" style="6"/>
    <col min="18" max="18" width="14.7109375" style="6" customWidth="1"/>
    <col min="19" max="19" width="12.28515625" style="6" customWidth="1"/>
    <col min="20" max="20" width="35.7109375" style="6" customWidth="1"/>
    <col min="21" max="22" width="38" style="6" customWidth="1"/>
    <col min="23" max="16384" width="8.7109375" style="6"/>
  </cols>
  <sheetData>
    <row r="1" spans="1:22" ht="16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M1" s="7" t="s">
        <v>11</v>
      </c>
      <c r="N1" s="7" t="s">
        <v>12</v>
      </c>
      <c r="O1" s="7" t="str">
        <f>M1&amp;" - "&amp;N1</f>
        <v>Ruimte - Omschrijving</v>
      </c>
      <c r="P1" s="8" t="s">
        <v>13</v>
      </c>
      <c r="Q1" s="9" t="s">
        <v>11</v>
      </c>
      <c r="R1" s="9" t="s">
        <v>12</v>
      </c>
    </row>
    <row r="2" spans="1:22" ht="15" x14ac:dyDescent="0.25">
      <c r="A2" s="10" t="s">
        <v>14</v>
      </c>
      <c r="B2" s="11" t="s">
        <v>15</v>
      </c>
      <c r="C2" s="12"/>
      <c r="D2" s="13" t="s">
        <v>16</v>
      </c>
      <c r="E2" s="12"/>
      <c r="F2" s="14"/>
      <c r="G2" s="15"/>
      <c r="H2" s="15"/>
      <c r="I2" s="16"/>
      <c r="J2" s="16"/>
      <c r="K2" s="12"/>
      <c r="M2" s="17"/>
      <c r="N2" s="18"/>
      <c r="O2" s="19"/>
      <c r="P2" s="20" t="s">
        <v>17</v>
      </c>
      <c r="Q2" s="21" t="str">
        <f>LEFT(P2,SEARCH(" ",P2)-1)</f>
        <v>0.001</v>
      </c>
      <c r="R2" s="21" t="str">
        <f>RIGHT(P2,(LEN(P2)-LEN(LEFT(P2,SEARCH(" ",P2)))))</f>
        <v>Ontvangsthal</v>
      </c>
    </row>
    <row r="3" spans="1:22" ht="15" x14ac:dyDescent="0.25">
      <c r="A3" s="22" t="s">
        <v>18</v>
      </c>
      <c r="B3" s="23" t="s">
        <v>19</v>
      </c>
      <c r="C3" s="24" t="s">
        <v>20</v>
      </c>
      <c r="D3" s="14"/>
      <c r="E3" s="24" t="s">
        <v>21</v>
      </c>
      <c r="F3" s="24" t="s">
        <v>22</v>
      </c>
      <c r="G3" s="24" t="s">
        <v>23</v>
      </c>
      <c r="H3" s="24" t="s">
        <v>24</v>
      </c>
      <c r="I3" s="25" t="s">
        <v>25</v>
      </c>
      <c r="J3" s="25" t="s">
        <v>26</v>
      </c>
      <c r="K3" s="26" t="s">
        <v>27</v>
      </c>
      <c r="M3" s="27" t="s">
        <v>28</v>
      </c>
      <c r="N3" s="28" t="s">
        <v>29</v>
      </c>
      <c r="O3" s="29" t="str">
        <f t="shared" ref="O3:O66" si="0">M3&amp;" - "&amp;N3</f>
        <v>Alg - Outbound</v>
      </c>
      <c r="P3" s="30"/>
      <c r="Q3" s="30"/>
      <c r="R3" s="30"/>
    </row>
    <row r="4" spans="1:22" ht="15" x14ac:dyDescent="0.25">
      <c r="A4" s="22" t="s">
        <v>30</v>
      </c>
      <c r="B4" s="23" t="s">
        <v>31</v>
      </c>
      <c r="C4" s="24" t="s">
        <v>32</v>
      </c>
      <c r="D4" s="24" t="s">
        <v>33</v>
      </c>
      <c r="E4" s="24" t="s">
        <v>34</v>
      </c>
      <c r="F4" s="24" t="s">
        <v>35</v>
      </c>
      <c r="G4" s="24" t="s">
        <v>36</v>
      </c>
      <c r="H4" s="24" t="s">
        <v>37</v>
      </c>
      <c r="I4" s="25" t="s">
        <v>38</v>
      </c>
      <c r="J4" s="25" t="s">
        <v>39</v>
      </c>
      <c r="K4" s="24" t="s">
        <v>40</v>
      </c>
      <c r="M4" s="27" t="s">
        <v>28</v>
      </c>
      <c r="N4" s="28" t="s">
        <v>41</v>
      </c>
      <c r="O4" s="29" t="str">
        <f t="shared" si="0"/>
        <v>Alg - Inbound</v>
      </c>
      <c r="P4" s="30"/>
      <c r="Q4" s="30"/>
      <c r="R4" s="30"/>
    </row>
    <row r="5" spans="1:22" ht="15" x14ac:dyDescent="0.25">
      <c r="A5" s="22" t="s">
        <v>42</v>
      </c>
      <c r="B5" s="23" t="s">
        <v>19</v>
      </c>
      <c r="C5" s="24" t="s">
        <v>43</v>
      </c>
      <c r="D5" s="24" t="s">
        <v>44</v>
      </c>
      <c r="E5" s="24" t="s">
        <v>45</v>
      </c>
      <c r="F5" s="24" t="s">
        <v>46</v>
      </c>
      <c r="G5" s="24" t="s">
        <v>47</v>
      </c>
      <c r="H5" s="24" t="s">
        <v>48</v>
      </c>
      <c r="I5" s="25" t="s">
        <v>49</v>
      </c>
      <c r="J5" s="25" t="s">
        <v>50</v>
      </c>
      <c r="K5" s="25" t="s">
        <v>51</v>
      </c>
      <c r="M5" s="27" t="s">
        <v>52</v>
      </c>
      <c r="N5" s="28" t="s">
        <v>53</v>
      </c>
      <c r="O5" s="29" t="str">
        <f t="shared" si="0"/>
        <v>00.0.00 - Fietsenhok</v>
      </c>
      <c r="P5" s="30"/>
      <c r="Q5" s="30"/>
      <c r="R5" s="30"/>
    </row>
    <row r="6" spans="1:22" ht="15" x14ac:dyDescent="0.25">
      <c r="A6" s="22" t="s">
        <v>54</v>
      </c>
      <c r="B6" s="23" t="s">
        <v>31</v>
      </c>
      <c r="C6" s="24" t="s">
        <v>55</v>
      </c>
      <c r="D6" s="24" t="s">
        <v>56</v>
      </c>
      <c r="E6" s="24" t="s">
        <v>57</v>
      </c>
      <c r="F6" s="24" t="s">
        <v>58</v>
      </c>
      <c r="G6" s="24" t="s">
        <v>59</v>
      </c>
      <c r="H6" s="24" t="s">
        <v>60</v>
      </c>
      <c r="I6" s="25" t="s">
        <v>61</v>
      </c>
      <c r="J6" s="25" t="s">
        <v>62</v>
      </c>
      <c r="K6" s="25" t="s">
        <v>63</v>
      </c>
      <c r="M6" s="27" t="s">
        <v>64</v>
      </c>
      <c r="N6" s="28" t="s">
        <v>65</v>
      </c>
      <c r="O6" s="29" t="str">
        <f t="shared" si="0"/>
        <v>00.0.55 - Parkeerplaats</v>
      </c>
      <c r="P6" s="30"/>
      <c r="Q6" s="30"/>
      <c r="R6" s="30"/>
    </row>
    <row r="7" spans="1:22" ht="15" x14ac:dyDescent="0.25">
      <c r="A7" s="22" t="s">
        <v>66</v>
      </c>
      <c r="B7" s="23" t="s">
        <v>67</v>
      </c>
      <c r="C7" s="24" t="s">
        <v>68</v>
      </c>
      <c r="D7" s="24" t="s">
        <v>69</v>
      </c>
      <c r="E7" s="24" t="s">
        <v>56</v>
      </c>
      <c r="F7" s="24" t="s">
        <v>70</v>
      </c>
      <c r="G7" s="24" t="s">
        <v>71</v>
      </c>
      <c r="H7" s="24" t="s">
        <v>72</v>
      </c>
      <c r="I7" s="25" t="s">
        <v>73</v>
      </c>
      <c r="J7" s="25" t="s">
        <v>74</v>
      </c>
      <c r="K7" s="25" t="s">
        <v>75</v>
      </c>
      <c r="M7" s="27" t="s">
        <v>76</v>
      </c>
      <c r="N7" s="28" t="s">
        <v>77</v>
      </c>
      <c r="O7" s="29" t="str">
        <f t="shared" si="0"/>
        <v>00.0.56 - Laadkuil</v>
      </c>
      <c r="P7" s="30"/>
      <c r="Q7" s="30"/>
      <c r="R7" s="30"/>
    </row>
    <row r="8" spans="1:22" ht="15" x14ac:dyDescent="0.25">
      <c r="A8" s="22" t="s">
        <v>78</v>
      </c>
      <c r="B8" s="23" t="s">
        <v>31</v>
      </c>
      <c r="C8" s="24" t="s">
        <v>79</v>
      </c>
      <c r="D8" s="24" t="s">
        <v>80</v>
      </c>
      <c r="E8" s="24" t="s">
        <v>81</v>
      </c>
      <c r="F8" s="24" t="s">
        <v>82</v>
      </c>
      <c r="G8" s="24" t="s">
        <v>83</v>
      </c>
      <c r="H8" s="24" t="s">
        <v>84</v>
      </c>
      <c r="I8" s="25" t="s">
        <v>85</v>
      </c>
      <c r="J8" s="25" t="s">
        <v>86</v>
      </c>
      <c r="K8" s="25" t="s">
        <v>87</v>
      </c>
      <c r="M8" s="27" t="s">
        <v>88</v>
      </c>
      <c r="N8" s="28" t="s">
        <v>89</v>
      </c>
      <c r="O8" s="29" t="str">
        <f t="shared" si="0"/>
        <v>10.0.51 - Ontvangst</v>
      </c>
      <c r="P8" s="30"/>
      <c r="Q8" s="30"/>
      <c r="R8" s="30"/>
    </row>
    <row r="9" spans="1:22" ht="15" x14ac:dyDescent="0.25">
      <c r="A9" s="22" t="s">
        <v>90</v>
      </c>
      <c r="B9" s="23" t="s">
        <v>67</v>
      </c>
      <c r="C9" s="24" t="s">
        <v>91</v>
      </c>
      <c r="D9" s="24"/>
      <c r="E9" s="24"/>
      <c r="F9" s="24" t="s">
        <v>21</v>
      </c>
      <c r="G9" s="24" t="s">
        <v>92</v>
      </c>
      <c r="H9" s="24" t="s">
        <v>93</v>
      </c>
      <c r="I9" s="25" t="s">
        <v>94</v>
      </c>
      <c r="J9" s="25" t="s">
        <v>95</v>
      </c>
      <c r="K9" s="25" t="s">
        <v>96</v>
      </c>
      <c r="M9" s="27" t="s">
        <v>97</v>
      </c>
      <c r="N9" s="28" t="s">
        <v>98</v>
      </c>
      <c r="O9" s="29" t="str">
        <f t="shared" si="0"/>
        <v>10.0.52 - Opslag</v>
      </c>
      <c r="P9" s="30"/>
      <c r="Q9" s="30"/>
      <c r="R9" s="30"/>
    </row>
    <row r="10" spans="1:22" ht="15" x14ac:dyDescent="0.25">
      <c r="A10" s="22" t="s">
        <v>99</v>
      </c>
      <c r="B10" s="23" t="s">
        <v>100</v>
      </c>
      <c r="C10" s="24" t="s">
        <v>101</v>
      </c>
      <c r="D10" s="31" t="s">
        <v>102</v>
      </c>
      <c r="E10" s="24"/>
      <c r="F10" s="24" t="s">
        <v>103</v>
      </c>
      <c r="G10" s="24" t="s">
        <v>104</v>
      </c>
      <c r="H10" s="24" t="s">
        <v>105</v>
      </c>
      <c r="I10" s="25" t="s">
        <v>106</v>
      </c>
      <c r="J10" s="25" t="s">
        <v>107</v>
      </c>
      <c r="K10" s="25" t="s">
        <v>108</v>
      </c>
      <c r="M10" s="27" t="s">
        <v>109</v>
      </c>
      <c r="N10" s="28" t="s">
        <v>110</v>
      </c>
      <c r="O10" s="29" t="str">
        <f t="shared" si="0"/>
        <v>20.0.13 - Technische werkplaats</v>
      </c>
      <c r="P10" s="30"/>
      <c r="Q10" s="30"/>
      <c r="R10" s="30"/>
    </row>
    <row r="11" spans="1:22" ht="15" x14ac:dyDescent="0.25">
      <c r="A11" s="22" t="s">
        <v>111</v>
      </c>
      <c r="B11" s="23" t="s">
        <v>31</v>
      </c>
      <c r="C11" s="26" t="s">
        <v>112</v>
      </c>
      <c r="D11" s="14"/>
      <c r="E11" s="24"/>
      <c r="F11" s="24" t="s">
        <v>113</v>
      </c>
      <c r="G11" s="24" t="s">
        <v>114</v>
      </c>
      <c r="H11" s="24" t="s">
        <v>115</v>
      </c>
      <c r="I11" s="25" t="s">
        <v>116</v>
      </c>
      <c r="J11" s="25" t="s">
        <v>117</v>
      </c>
      <c r="K11" s="25" t="s">
        <v>118</v>
      </c>
      <c r="M11" s="27" t="s">
        <v>119</v>
      </c>
      <c r="N11" s="28" t="s">
        <v>120</v>
      </c>
      <c r="O11" s="29" t="str">
        <f t="shared" si="0"/>
        <v>20.0.13a - Doorgeefsluis</v>
      </c>
      <c r="P11" s="30"/>
      <c r="Q11" s="30"/>
      <c r="R11" s="30"/>
      <c r="T11" s="32" t="s">
        <v>121</v>
      </c>
      <c r="U11" s="6" t="s">
        <v>122</v>
      </c>
      <c r="V11" s="6" t="s">
        <v>123</v>
      </c>
    </row>
    <row r="12" spans="1:22" ht="15" x14ac:dyDescent="0.25">
      <c r="A12" s="22" t="s">
        <v>124</v>
      </c>
      <c r="B12" s="23" t="s">
        <v>67</v>
      </c>
      <c r="C12" s="26" t="s">
        <v>125</v>
      </c>
      <c r="D12" s="24" t="s">
        <v>126</v>
      </c>
      <c r="E12" s="24"/>
      <c r="F12" s="24" t="s">
        <v>127</v>
      </c>
      <c r="G12" s="24" t="s">
        <v>128</v>
      </c>
      <c r="H12" s="24" t="s">
        <v>129</v>
      </c>
      <c r="I12" s="25" t="s">
        <v>130</v>
      </c>
      <c r="J12" s="24" t="s">
        <v>131</v>
      </c>
      <c r="K12" s="25" t="s">
        <v>132</v>
      </c>
      <c r="M12" s="27" t="s">
        <v>133</v>
      </c>
      <c r="N12" s="28" t="s">
        <v>134</v>
      </c>
      <c r="O12" s="29" t="str">
        <f t="shared" si="0"/>
        <v>20.0.13b - Voorportaal TD</v>
      </c>
      <c r="P12" s="30"/>
      <c r="Q12" s="30"/>
      <c r="R12" s="30"/>
    </row>
    <row r="13" spans="1:22" ht="15" x14ac:dyDescent="0.25">
      <c r="A13" s="22" t="s">
        <v>135</v>
      </c>
      <c r="B13" s="23" t="s">
        <v>100</v>
      </c>
      <c r="C13" s="26" t="s">
        <v>136</v>
      </c>
      <c r="D13" s="24" t="s">
        <v>137</v>
      </c>
      <c r="E13" s="24"/>
      <c r="F13" s="24" t="s">
        <v>138</v>
      </c>
      <c r="G13" s="26" t="s">
        <v>139</v>
      </c>
      <c r="H13" s="24"/>
      <c r="I13" s="25" t="s">
        <v>140</v>
      </c>
      <c r="J13" s="25" t="s">
        <v>141</v>
      </c>
      <c r="K13" s="24" t="s">
        <v>142</v>
      </c>
      <c r="M13" s="27" t="s">
        <v>143</v>
      </c>
      <c r="N13" s="28" t="s">
        <v>144</v>
      </c>
      <c r="O13" s="29" t="str">
        <f t="shared" si="0"/>
        <v>20.0.21 - Chaufeursontvangst</v>
      </c>
      <c r="P13" s="30"/>
      <c r="Q13" s="30"/>
      <c r="R13" s="30"/>
      <c r="S13" s="33" t="s">
        <v>52</v>
      </c>
      <c r="T13" s="34" t="s">
        <v>53</v>
      </c>
      <c r="U13" s="6" t="s">
        <v>145</v>
      </c>
      <c r="V13" s="33" t="s">
        <v>146</v>
      </c>
    </row>
    <row r="14" spans="1:22" ht="15" x14ac:dyDescent="0.25">
      <c r="A14" s="22" t="s">
        <v>147</v>
      </c>
      <c r="B14" s="23" t="s">
        <v>67</v>
      </c>
      <c r="C14" s="35" t="s">
        <v>148</v>
      </c>
      <c r="D14" s="24" t="s">
        <v>149</v>
      </c>
      <c r="E14" s="24"/>
      <c r="F14" s="24"/>
      <c r="G14" s="35"/>
      <c r="H14" s="24"/>
      <c r="I14" s="24" t="s">
        <v>150</v>
      </c>
      <c r="J14" s="25" t="s">
        <v>151</v>
      </c>
      <c r="K14" s="24"/>
      <c r="M14" s="27" t="s">
        <v>152</v>
      </c>
      <c r="N14" s="28" t="s">
        <v>153</v>
      </c>
      <c r="O14" s="29" t="str">
        <f t="shared" si="0"/>
        <v>20.0.21a - Chauffeurs toilet</v>
      </c>
      <c r="P14" s="30"/>
      <c r="Q14" s="30"/>
      <c r="R14" s="30"/>
      <c r="S14" s="33" t="s">
        <v>64</v>
      </c>
      <c r="T14" s="34" t="s">
        <v>65</v>
      </c>
      <c r="U14" s="6" t="s">
        <v>154</v>
      </c>
      <c r="V14" s="33" t="s">
        <v>155</v>
      </c>
    </row>
    <row r="15" spans="1:22" ht="15" x14ac:dyDescent="0.25">
      <c r="A15" s="22" t="s">
        <v>156</v>
      </c>
      <c r="B15" s="23" t="s">
        <v>100</v>
      </c>
      <c r="C15" s="35"/>
      <c r="D15" s="24" t="s">
        <v>157</v>
      </c>
      <c r="E15" s="24"/>
      <c r="F15" s="24"/>
      <c r="G15" s="35"/>
      <c r="H15" s="24"/>
      <c r="I15" s="25" t="s">
        <v>158</v>
      </c>
      <c r="J15" s="24" t="s">
        <v>159</v>
      </c>
      <c r="K15" s="24"/>
      <c r="M15" s="27" t="s">
        <v>160</v>
      </c>
      <c r="N15" s="28" t="s">
        <v>161</v>
      </c>
      <c r="O15" s="29" t="str">
        <f t="shared" si="0"/>
        <v>20.0.24 - Trafo 1</v>
      </c>
      <c r="P15" s="30"/>
      <c r="Q15" s="30"/>
      <c r="R15" s="30"/>
      <c r="S15" s="33" t="s">
        <v>76</v>
      </c>
      <c r="T15" s="34" t="s">
        <v>77</v>
      </c>
      <c r="U15" s="6" t="s">
        <v>162</v>
      </c>
      <c r="V15" s="33" t="s">
        <v>163</v>
      </c>
    </row>
    <row r="16" spans="1:22" ht="15" x14ac:dyDescent="0.25">
      <c r="A16" s="22" t="s">
        <v>164</v>
      </c>
      <c r="B16" s="23" t="s">
        <v>165</v>
      </c>
      <c r="C16" s="35"/>
      <c r="D16" s="24"/>
      <c r="E16" s="36"/>
      <c r="F16" s="37"/>
      <c r="G16" s="36"/>
      <c r="H16" s="37"/>
      <c r="I16" s="25" t="s">
        <v>166</v>
      </c>
      <c r="J16" s="25" t="s">
        <v>167</v>
      </c>
      <c r="K16" s="37"/>
      <c r="M16" s="27" t="s">
        <v>168</v>
      </c>
      <c r="N16" s="28" t="s">
        <v>169</v>
      </c>
      <c r="O16" s="29" t="str">
        <f t="shared" si="0"/>
        <v>20.0.25 - Trafo 2</v>
      </c>
      <c r="P16" s="30"/>
      <c r="Q16" s="30"/>
      <c r="R16" s="30"/>
      <c r="S16" s="33" t="s">
        <v>88</v>
      </c>
      <c r="T16" s="34" t="s">
        <v>89</v>
      </c>
      <c r="U16" s="6" t="s">
        <v>170</v>
      </c>
      <c r="V16" s="33" t="s">
        <v>171</v>
      </c>
    </row>
    <row r="17" spans="1:22" ht="15" x14ac:dyDescent="0.25">
      <c r="A17" s="22" t="s">
        <v>172</v>
      </c>
      <c r="B17" s="23" t="s">
        <v>100</v>
      </c>
      <c r="C17" s="35"/>
      <c r="D17" s="31" t="s">
        <v>173</v>
      </c>
      <c r="E17" s="36"/>
      <c r="F17" s="37"/>
      <c r="G17" s="36"/>
      <c r="H17" s="37"/>
      <c r="I17" s="25" t="s">
        <v>174</v>
      </c>
      <c r="J17" s="25" t="s">
        <v>175</v>
      </c>
      <c r="K17" s="37"/>
      <c r="M17" s="27" t="s">
        <v>176</v>
      </c>
      <c r="N17" s="28" t="s">
        <v>177</v>
      </c>
      <c r="O17" s="29" t="str">
        <f t="shared" si="0"/>
        <v>20.0.26 - Trafo 3</v>
      </c>
      <c r="P17" s="30"/>
      <c r="Q17" s="30"/>
      <c r="R17" s="30"/>
      <c r="S17" s="33" t="s">
        <v>97</v>
      </c>
      <c r="T17" s="34" t="s">
        <v>98</v>
      </c>
      <c r="U17" s="6" t="s">
        <v>178</v>
      </c>
      <c r="V17" s="33" t="s">
        <v>179</v>
      </c>
    </row>
    <row r="18" spans="1:22" ht="15" x14ac:dyDescent="0.25">
      <c r="A18" s="22" t="s">
        <v>180</v>
      </c>
      <c r="B18" s="23" t="s">
        <v>165</v>
      </c>
      <c r="C18" s="35"/>
      <c r="D18" s="14"/>
      <c r="E18" s="36"/>
      <c r="F18" s="36"/>
      <c r="G18" s="36"/>
      <c r="H18" s="36"/>
      <c r="I18" s="25" t="s">
        <v>181</v>
      </c>
      <c r="J18" s="25" t="s">
        <v>182</v>
      </c>
      <c r="K18" s="37"/>
      <c r="M18" s="27" t="s">
        <v>183</v>
      </c>
      <c r="N18" s="28" t="s">
        <v>184</v>
      </c>
      <c r="O18" s="29" t="str">
        <f t="shared" si="0"/>
        <v>20.0.27 - Chemicalien opslag</v>
      </c>
      <c r="P18" s="30"/>
      <c r="Q18" s="30"/>
      <c r="R18" s="30"/>
      <c r="S18" s="33" t="s">
        <v>109</v>
      </c>
      <c r="T18" s="34" t="s">
        <v>110</v>
      </c>
      <c r="U18" s="6" t="s">
        <v>185</v>
      </c>
      <c r="V18" s="33" t="s">
        <v>186</v>
      </c>
    </row>
    <row r="19" spans="1:22" ht="15" x14ac:dyDescent="0.25">
      <c r="A19" s="22" t="s">
        <v>187</v>
      </c>
      <c r="B19" s="23" t="s">
        <v>188</v>
      </c>
      <c r="C19" s="35"/>
      <c r="D19" s="24" t="s">
        <v>189</v>
      </c>
      <c r="E19" s="36"/>
      <c r="F19" s="37"/>
      <c r="G19" s="36"/>
      <c r="H19" s="37"/>
      <c r="I19" s="25" t="s">
        <v>190</v>
      </c>
      <c r="J19" s="25" t="s">
        <v>191</v>
      </c>
      <c r="K19" s="37"/>
      <c r="M19" s="27" t="s">
        <v>192</v>
      </c>
      <c r="N19" s="28" t="s">
        <v>193</v>
      </c>
      <c r="O19" s="29" t="str">
        <f t="shared" si="0"/>
        <v>20.0.28 - Pompruimte</v>
      </c>
      <c r="P19" s="30"/>
      <c r="Q19" s="30"/>
      <c r="R19" s="30"/>
      <c r="S19" s="33" t="s">
        <v>119</v>
      </c>
      <c r="T19" s="34" t="s">
        <v>120</v>
      </c>
      <c r="U19" s="6" t="s">
        <v>194</v>
      </c>
      <c r="V19" s="33" t="s">
        <v>195</v>
      </c>
    </row>
    <row r="20" spans="1:22" ht="15" x14ac:dyDescent="0.25">
      <c r="A20" s="22"/>
      <c r="B20" s="23"/>
      <c r="C20" s="35"/>
      <c r="D20" s="24" t="s">
        <v>196</v>
      </c>
      <c r="E20" s="36"/>
      <c r="F20" s="37"/>
      <c r="G20" s="36"/>
      <c r="H20" s="37"/>
      <c r="I20" s="25" t="s">
        <v>197</v>
      </c>
      <c r="J20" s="24" t="s">
        <v>198</v>
      </c>
      <c r="K20" s="37"/>
      <c r="M20" s="27" t="s">
        <v>199</v>
      </c>
      <c r="N20" s="28" t="s">
        <v>200</v>
      </c>
      <c r="O20" s="29" t="str">
        <f t="shared" si="0"/>
        <v xml:space="preserve">20.0.29 - Compressorruimte </v>
      </c>
      <c r="P20" s="30"/>
      <c r="Q20" s="30"/>
      <c r="R20" s="30"/>
      <c r="S20" s="33" t="s">
        <v>133</v>
      </c>
      <c r="T20" s="34" t="s">
        <v>134</v>
      </c>
      <c r="U20" s="6" t="s">
        <v>201</v>
      </c>
      <c r="V20" s="33" t="s">
        <v>202</v>
      </c>
    </row>
    <row r="21" spans="1:22" ht="15" x14ac:dyDescent="0.25">
      <c r="A21" s="22"/>
      <c r="B21" s="23"/>
      <c r="C21" s="37"/>
      <c r="D21" s="24" t="s">
        <v>203</v>
      </c>
      <c r="E21" s="36"/>
      <c r="F21" s="37"/>
      <c r="G21" s="37"/>
      <c r="H21" s="37"/>
      <c r="I21" s="24"/>
      <c r="J21" s="38" t="s">
        <v>204</v>
      </c>
      <c r="K21" s="37"/>
      <c r="M21" s="27" t="s">
        <v>205</v>
      </c>
      <c r="N21" s="28" t="s">
        <v>206</v>
      </c>
      <c r="O21" s="29" t="str">
        <f t="shared" si="0"/>
        <v>20.0.53 - Water opslag</v>
      </c>
      <c r="P21" s="30"/>
      <c r="Q21" s="30"/>
      <c r="R21" s="30"/>
      <c r="S21" s="33" t="s">
        <v>143</v>
      </c>
      <c r="T21" s="34" t="s">
        <v>144</v>
      </c>
      <c r="U21" s="6" t="s">
        <v>207</v>
      </c>
      <c r="V21" s="33" t="s">
        <v>208</v>
      </c>
    </row>
    <row r="22" spans="1:22" ht="15" x14ac:dyDescent="0.25">
      <c r="A22" s="22"/>
      <c r="B22" s="23"/>
      <c r="C22" s="37"/>
      <c r="D22" s="24" t="s">
        <v>209</v>
      </c>
      <c r="E22" s="36"/>
      <c r="F22" s="37"/>
      <c r="G22" s="37"/>
      <c r="H22" s="37"/>
      <c r="I22" s="24"/>
      <c r="J22" s="25" t="s">
        <v>210</v>
      </c>
      <c r="K22" s="37"/>
      <c r="M22" s="27" t="s">
        <v>211</v>
      </c>
      <c r="N22" s="28" t="s">
        <v>212</v>
      </c>
      <c r="O22" s="29" t="str">
        <f t="shared" si="0"/>
        <v>20.0.54 - Container opslag</v>
      </c>
      <c r="P22" s="30"/>
      <c r="Q22" s="30"/>
      <c r="R22" s="30"/>
      <c r="S22" s="33" t="s">
        <v>152</v>
      </c>
      <c r="T22" s="34" t="s">
        <v>153</v>
      </c>
      <c r="U22" s="6" t="s">
        <v>213</v>
      </c>
      <c r="V22" s="33" t="s">
        <v>214</v>
      </c>
    </row>
    <row r="23" spans="1:22" ht="15" x14ac:dyDescent="0.25">
      <c r="A23" s="22"/>
      <c r="B23" s="23"/>
      <c r="C23" s="37"/>
      <c r="D23" s="24" t="s">
        <v>215</v>
      </c>
      <c r="E23" s="31"/>
      <c r="F23" s="37"/>
      <c r="G23" s="37"/>
      <c r="H23" s="37"/>
      <c r="I23" s="25"/>
      <c r="J23" s="24"/>
      <c r="K23" s="37"/>
      <c r="M23" s="27" t="s">
        <v>216</v>
      </c>
      <c r="N23" s="28" t="s">
        <v>217</v>
      </c>
      <c r="O23" s="29" t="str">
        <f t="shared" si="0"/>
        <v>20.1.16 - Utilities</v>
      </c>
      <c r="P23" s="30"/>
      <c r="Q23" s="30"/>
      <c r="R23" s="30"/>
      <c r="S23" s="33" t="s">
        <v>218</v>
      </c>
      <c r="T23" s="34" t="s">
        <v>219</v>
      </c>
      <c r="U23" s="6" t="s">
        <v>219</v>
      </c>
      <c r="V23" s="33" t="s">
        <v>220</v>
      </c>
    </row>
    <row r="24" spans="1:22" ht="15" x14ac:dyDescent="0.25">
      <c r="A24" s="22"/>
      <c r="B24" s="23"/>
      <c r="C24" s="37"/>
      <c r="D24" s="24" t="s">
        <v>221</v>
      </c>
      <c r="E24" s="37"/>
      <c r="F24" s="37"/>
      <c r="G24" s="37"/>
      <c r="H24" s="37"/>
      <c r="I24" s="24"/>
      <c r="J24" s="24"/>
      <c r="K24" s="37"/>
      <c r="M24" s="27" t="s">
        <v>222</v>
      </c>
      <c r="N24" s="28" t="s">
        <v>223</v>
      </c>
      <c r="O24" s="29" t="str">
        <f t="shared" si="0"/>
        <v>20.1.17 - Spreekkamer</v>
      </c>
      <c r="P24" s="30"/>
      <c r="Q24" s="30"/>
      <c r="R24" s="30"/>
      <c r="S24" s="33" t="s">
        <v>224</v>
      </c>
      <c r="T24" s="34" t="s">
        <v>225</v>
      </c>
      <c r="U24" s="6" t="s">
        <v>226</v>
      </c>
      <c r="V24" s="33" t="s">
        <v>227</v>
      </c>
    </row>
    <row r="25" spans="1:22" ht="15" x14ac:dyDescent="0.25">
      <c r="A25" s="22"/>
      <c r="B25" s="23"/>
      <c r="C25" s="37"/>
      <c r="D25" s="24" t="s">
        <v>228</v>
      </c>
      <c r="E25" s="31"/>
      <c r="F25" s="37"/>
      <c r="G25" s="37"/>
      <c r="H25" s="37"/>
      <c r="I25" s="25"/>
      <c r="J25" s="24"/>
      <c r="K25" s="37"/>
      <c r="M25" s="27" t="s">
        <v>229</v>
      </c>
      <c r="N25" s="28" t="s">
        <v>230</v>
      </c>
      <c r="O25" s="29" t="str">
        <f t="shared" si="0"/>
        <v>20.1.18 - Opslag utilities</v>
      </c>
      <c r="P25" s="30"/>
      <c r="Q25" s="30"/>
      <c r="R25" s="30"/>
      <c r="S25" s="33" t="s">
        <v>160</v>
      </c>
      <c r="T25" s="34" t="s">
        <v>161</v>
      </c>
      <c r="U25" s="6" t="s">
        <v>231</v>
      </c>
      <c r="V25" s="33" t="s">
        <v>161</v>
      </c>
    </row>
    <row r="26" spans="1:22" ht="15" x14ac:dyDescent="0.25">
      <c r="A26" s="22"/>
      <c r="B26" s="23"/>
      <c r="C26" s="37"/>
      <c r="D26" s="24" t="s">
        <v>232</v>
      </c>
      <c r="E26" s="37"/>
      <c r="F26" s="37"/>
      <c r="G26" s="37"/>
      <c r="H26" s="37"/>
      <c r="I26" s="39"/>
      <c r="J26" s="37"/>
      <c r="K26" s="37"/>
      <c r="M26" s="27" t="s">
        <v>233</v>
      </c>
      <c r="N26" s="28" t="s">
        <v>234</v>
      </c>
      <c r="O26" s="29" t="str">
        <f t="shared" si="0"/>
        <v>20.1.20 - Laagspanningsruimte</v>
      </c>
      <c r="P26" s="30"/>
      <c r="Q26" s="30"/>
      <c r="R26" s="30"/>
      <c r="S26" s="33" t="s">
        <v>168</v>
      </c>
      <c r="T26" s="34" t="s">
        <v>169</v>
      </c>
      <c r="U26" s="6" t="s">
        <v>235</v>
      </c>
      <c r="V26" s="33" t="s">
        <v>169</v>
      </c>
    </row>
    <row r="27" spans="1:22" ht="15" x14ac:dyDescent="0.25">
      <c r="A27" s="22"/>
      <c r="B27" s="23"/>
      <c r="C27" s="37"/>
      <c r="D27" s="24"/>
      <c r="E27" s="31"/>
      <c r="F27" s="37"/>
      <c r="G27" s="37"/>
      <c r="H27" s="37"/>
      <c r="I27" s="39"/>
      <c r="J27" s="37"/>
      <c r="K27" s="37"/>
      <c r="M27" s="27" t="s">
        <v>236</v>
      </c>
      <c r="N27" s="28" t="s">
        <v>237</v>
      </c>
      <c r="O27" s="29" t="str">
        <f t="shared" si="0"/>
        <v>20.1.21 - MCC ruimte</v>
      </c>
      <c r="P27" s="30"/>
      <c r="Q27" s="30"/>
      <c r="R27" s="30"/>
      <c r="S27" s="33" t="s">
        <v>176</v>
      </c>
      <c r="T27" s="34" t="s">
        <v>177</v>
      </c>
      <c r="U27" s="6" t="s">
        <v>238</v>
      </c>
      <c r="V27" s="33" t="s">
        <v>177</v>
      </c>
    </row>
    <row r="28" spans="1:22" ht="15" x14ac:dyDescent="0.25">
      <c r="A28" s="22"/>
      <c r="B28" s="23"/>
      <c r="C28" s="37"/>
      <c r="D28" s="37"/>
      <c r="E28" s="37"/>
      <c r="F28" s="37"/>
      <c r="G28" s="37"/>
      <c r="H28" s="37"/>
      <c r="I28" s="39"/>
      <c r="J28" s="37"/>
      <c r="K28" s="37"/>
      <c r="M28" s="27" t="s">
        <v>239</v>
      </c>
      <c r="N28" s="28" t="s">
        <v>240</v>
      </c>
      <c r="O28" s="29" t="str">
        <f t="shared" si="0"/>
        <v>20.1.22 - Warmtepomp ruimte</v>
      </c>
      <c r="P28" s="30"/>
      <c r="Q28" s="30"/>
      <c r="R28" s="30"/>
      <c r="S28" s="33" t="s">
        <v>183</v>
      </c>
      <c r="T28" s="34" t="s">
        <v>184</v>
      </c>
      <c r="U28" s="6" t="s">
        <v>241</v>
      </c>
      <c r="V28" s="33" t="s">
        <v>242</v>
      </c>
    </row>
    <row r="29" spans="1:22" ht="15.75" thickBot="1" x14ac:dyDescent="0.3">
      <c r="A29" s="22"/>
      <c r="B29" s="23"/>
      <c r="C29" s="40"/>
      <c r="D29" s="41"/>
      <c r="E29" s="41"/>
      <c r="F29" s="37"/>
      <c r="G29" s="37"/>
      <c r="H29" s="37"/>
      <c r="I29" s="39"/>
      <c r="J29" s="37"/>
      <c r="K29" s="37"/>
      <c r="M29" s="27" t="s">
        <v>243</v>
      </c>
      <c r="N29" s="28" t="s">
        <v>244</v>
      </c>
      <c r="O29" s="29" t="str">
        <f t="shared" si="0"/>
        <v>20.3.04 - Dak utilities</v>
      </c>
      <c r="P29" s="30"/>
      <c r="Q29" s="30"/>
      <c r="R29" s="30"/>
      <c r="S29" s="33" t="s">
        <v>192</v>
      </c>
      <c r="T29" s="34" t="s">
        <v>193</v>
      </c>
      <c r="U29" s="6" t="s">
        <v>245</v>
      </c>
      <c r="V29" s="33" t="s">
        <v>246</v>
      </c>
    </row>
    <row r="30" spans="1:22" ht="15.75" thickBot="1" x14ac:dyDescent="0.3">
      <c r="A30" s="22"/>
      <c r="B30" s="23"/>
      <c r="C30" s="81" t="s">
        <v>247</v>
      </c>
      <c r="D30" s="82"/>
      <c r="E30" s="83"/>
      <c r="F30" s="37"/>
      <c r="G30" s="37"/>
      <c r="H30" s="37"/>
      <c r="I30" s="39"/>
      <c r="J30" s="37"/>
      <c r="K30" s="37"/>
      <c r="M30" s="27" t="s">
        <v>248</v>
      </c>
      <c r="N30" s="28" t="s">
        <v>249</v>
      </c>
      <c r="O30" s="29" t="str">
        <f t="shared" si="0"/>
        <v>30.0.01 - Entrée</v>
      </c>
      <c r="P30" s="30"/>
      <c r="Q30" s="30"/>
      <c r="R30" s="30"/>
      <c r="S30" s="33" t="s">
        <v>199</v>
      </c>
      <c r="T30" s="34" t="s">
        <v>250</v>
      </c>
      <c r="U30" s="6" t="s">
        <v>251</v>
      </c>
      <c r="V30" s="33" t="s">
        <v>252</v>
      </c>
    </row>
    <row r="31" spans="1:22" ht="16.5" thickBot="1" x14ac:dyDescent="0.3">
      <c r="A31" s="42" t="s">
        <v>253</v>
      </c>
      <c r="B31" s="43"/>
      <c r="C31" s="44" t="s">
        <v>3</v>
      </c>
      <c r="D31" s="45" t="s">
        <v>254</v>
      </c>
      <c r="E31" s="46" t="s">
        <v>255</v>
      </c>
      <c r="F31" s="47" t="s">
        <v>256</v>
      </c>
      <c r="G31" s="48" t="s">
        <v>257</v>
      </c>
      <c r="H31" s="48" t="s">
        <v>258</v>
      </c>
      <c r="I31" s="3" t="s">
        <v>259</v>
      </c>
      <c r="J31" s="3" t="s">
        <v>260</v>
      </c>
      <c r="K31" s="4" t="s">
        <v>261</v>
      </c>
      <c r="M31" s="27" t="s">
        <v>262</v>
      </c>
      <c r="N31" s="28" t="s">
        <v>263</v>
      </c>
      <c r="O31" s="29" t="str">
        <f t="shared" si="0"/>
        <v>30.0.02 - Vergaderruimte</v>
      </c>
      <c r="P31" s="30"/>
      <c r="Q31" s="30"/>
      <c r="R31" s="30"/>
      <c r="S31" s="33" t="s">
        <v>205</v>
      </c>
      <c r="T31" s="34" t="s">
        <v>206</v>
      </c>
      <c r="U31" s="6" t="s">
        <v>264</v>
      </c>
      <c r="V31" s="33" t="s">
        <v>265</v>
      </c>
    </row>
    <row r="32" spans="1:22" ht="15" x14ac:dyDescent="0.25">
      <c r="A32" s="49" t="s">
        <v>266</v>
      </c>
      <c r="B32" s="11"/>
      <c r="C32" s="50" t="str">
        <f>D4</f>
        <v>Facility gebied</v>
      </c>
      <c r="D32" s="51" t="s">
        <v>267</v>
      </c>
      <c r="E32" s="52" t="s">
        <v>268</v>
      </c>
      <c r="F32" s="53"/>
      <c r="G32" s="15"/>
      <c r="H32" s="14"/>
      <c r="I32" s="14"/>
      <c r="J32" s="14"/>
      <c r="K32" s="14"/>
      <c r="M32" s="27" t="s">
        <v>269</v>
      </c>
      <c r="N32" s="28" t="s">
        <v>270</v>
      </c>
      <c r="O32" s="29" t="str">
        <f t="shared" si="0"/>
        <v>30.0.03 - Garderobe</v>
      </c>
      <c r="P32" s="30"/>
      <c r="Q32" s="30"/>
      <c r="R32" s="30"/>
      <c r="S32" s="33" t="s">
        <v>211</v>
      </c>
      <c r="T32" s="34" t="s">
        <v>212</v>
      </c>
      <c r="U32" s="6" t="s">
        <v>271</v>
      </c>
      <c r="V32" s="33" t="s">
        <v>272</v>
      </c>
    </row>
    <row r="33" spans="1:22" ht="15" x14ac:dyDescent="0.25">
      <c r="A33" s="22" t="s">
        <v>273</v>
      </c>
      <c r="B33" s="23"/>
      <c r="C33" s="54" t="str">
        <f>D5</f>
        <v>TD gebied</v>
      </c>
      <c r="D33" s="55" t="s">
        <v>274</v>
      </c>
      <c r="E33" s="56" t="s">
        <v>275</v>
      </c>
      <c r="F33" s="24"/>
      <c r="G33" s="26" t="s">
        <v>27</v>
      </c>
      <c r="H33" s="24" t="s">
        <v>27</v>
      </c>
      <c r="I33" s="24" t="s">
        <v>27</v>
      </c>
      <c r="J33" s="24" t="s">
        <v>27</v>
      </c>
      <c r="K33" s="24" t="s">
        <v>27</v>
      </c>
      <c r="M33" s="27" t="s">
        <v>276</v>
      </c>
      <c r="N33" s="28" t="s">
        <v>277</v>
      </c>
      <c r="O33" s="29" t="str">
        <f t="shared" si="0"/>
        <v>30.0.30 - Voorportaal lift/MAL</v>
      </c>
      <c r="P33" s="30"/>
      <c r="Q33" s="30"/>
      <c r="R33" s="30"/>
      <c r="S33" s="33" t="s">
        <v>216</v>
      </c>
      <c r="T33" s="34" t="s">
        <v>217</v>
      </c>
      <c r="U33" s="6" t="s">
        <v>217</v>
      </c>
      <c r="V33" s="33" t="s">
        <v>217</v>
      </c>
    </row>
    <row r="34" spans="1:22" ht="15.75" thickBot="1" x14ac:dyDescent="0.3">
      <c r="A34" s="22" t="s">
        <v>278</v>
      </c>
      <c r="B34" s="23"/>
      <c r="C34" s="54" t="str">
        <f t="shared" ref="C34:C37" si="1">D6</f>
        <v>Magazijn</v>
      </c>
      <c r="D34" s="55" t="s">
        <v>279</v>
      </c>
      <c r="E34" s="55" t="s">
        <v>280</v>
      </c>
      <c r="F34" s="57"/>
      <c r="G34" s="24" t="s">
        <v>281</v>
      </c>
      <c r="H34" s="24" t="s">
        <v>282</v>
      </c>
      <c r="I34" s="24" t="s">
        <v>283</v>
      </c>
      <c r="J34" s="24" t="s">
        <v>284</v>
      </c>
      <c r="K34" s="24" t="s">
        <v>285</v>
      </c>
      <c r="M34" s="27" t="s">
        <v>286</v>
      </c>
      <c r="N34" s="28" t="s">
        <v>287</v>
      </c>
      <c r="O34" s="29" t="str">
        <f t="shared" si="0"/>
        <v>30.0.31 - Lift</v>
      </c>
      <c r="P34" s="30"/>
      <c r="Q34" s="30"/>
      <c r="R34" s="30"/>
      <c r="S34" s="33" t="s">
        <v>222</v>
      </c>
      <c r="T34" s="34" t="s">
        <v>223</v>
      </c>
      <c r="U34" s="6" t="s">
        <v>288</v>
      </c>
      <c r="V34" s="33" t="s">
        <v>289</v>
      </c>
    </row>
    <row r="35" spans="1:22" ht="15" x14ac:dyDescent="0.25">
      <c r="A35" s="58" t="s">
        <v>290</v>
      </c>
      <c r="B35" s="23"/>
      <c r="C35" s="54" t="str">
        <f t="shared" si="1"/>
        <v>Productie gebied</v>
      </c>
      <c r="D35" s="55" t="s">
        <v>291</v>
      </c>
      <c r="E35" s="55" t="s">
        <v>292</v>
      </c>
      <c r="F35" s="59"/>
      <c r="G35" s="25" t="s">
        <v>293</v>
      </c>
      <c r="H35" s="24" t="s">
        <v>294</v>
      </c>
      <c r="I35" s="24" t="s">
        <v>295</v>
      </c>
      <c r="J35" s="24" t="s">
        <v>296</v>
      </c>
      <c r="K35" s="24" t="s">
        <v>297</v>
      </c>
      <c r="M35" s="27" t="s">
        <v>298</v>
      </c>
      <c r="N35" s="28" t="s">
        <v>299</v>
      </c>
      <c r="O35" s="29" t="str">
        <f t="shared" si="0"/>
        <v>30.1.01 - Gang</v>
      </c>
      <c r="P35" s="30"/>
      <c r="Q35" s="30"/>
      <c r="R35" s="30"/>
      <c r="S35" s="33" t="s">
        <v>229</v>
      </c>
      <c r="T35" s="34" t="s">
        <v>230</v>
      </c>
      <c r="U35" s="6" t="s">
        <v>300</v>
      </c>
      <c r="V35" s="33" t="s">
        <v>301</v>
      </c>
    </row>
    <row r="36" spans="1:22" ht="15" x14ac:dyDescent="0.25">
      <c r="A36" s="22" t="s">
        <v>273</v>
      </c>
      <c r="B36" s="23"/>
      <c r="C36" s="54" t="str">
        <f t="shared" si="1"/>
        <v>Project gebied</v>
      </c>
      <c r="D36" s="55" t="s">
        <v>302</v>
      </c>
      <c r="E36" s="55" t="s">
        <v>303</v>
      </c>
      <c r="F36" s="60"/>
      <c r="G36" s="25" t="s">
        <v>304</v>
      </c>
      <c r="H36" s="24" t="s">
        <v>304</v>
      </c>
      <c r="I36" s="24" t="s">
        <v>305</v>
      </c>
      <c r="J36" s="24" t="s">
        <v>306</v>
      </c>
      <c r="K36" s="24" t="s">
        <v>307</v>
      </c>
      <c r="M36" s="27" t="s">
        <v>308</v>
      </c>
      <c r="N36" s="28" t="s">
        <v>309</v>
      </c>
      <c r="O36" s="29" t="str">
        <f t="shared" si="0"/>
        <v>30.1.02 - Pauzeruimte</v>
      </c>
      <c r="P36" s="30"/>
      <c r="Q36" s="30"/>
      <c r="R36" s="30"/>
      <c r="S36" s="33" t="s">
        <v>233</v>
      </c>
      <c r="T36" s="34" t="s">
        <v>234</v>
      </c>
      <c r="U36" s="6" t="s">
        <v>310</v>
      </c>
      <c r="V36" s="33" t="s">
        <v>311</v>
      </c>
    </row>
    <row r="37" spans="1:22" ht="15" x14ac:dyDescent="0.25">
      <c r="A37" s="22" t="s">
        <v>312</v>
      </c>
      <c r="B37" s="23"/>
      <c r="C37" s="54">
        <f t="shared" si="1"/>
        <v>0</v>
      </c>
      <c r="D37" s="55"/>
      <c r="E37" s="55"/>
      <c r="F37" s="60"/>
      <c r="G37" s="25" t="s">
        <v>313</v>
      </c>
      <c r="H37" s="24" t="s">
        <v>314</v>
      </c>
      <c r="I37" s="24" t="s">
        <v>315</v>
      </c>
      <c r="J37" s="24" t="s">
        <v>316</v>
      </c>
      <c r="K37" s="24" t="s">
        <v>317</v>
      </c>
      <c r="M37" s="27" t="s">
        <v>318</v>
      </c>
      <c r="N37" s="28" t="s">
        <v>319</v>
      </c>
      <c r="O37" s="29" t="str">
        <f t="shared" si="0"/>
        <v>30.1.03 - Kleedruimte ♂ MHAW ♂</v>
      </c>
      <c r="P37" s="30"/>
      <c r="Q37" s="30"/>
      <c r="R37" s="30"/>
      <c r="S37" s="33" t="s">
        <v>236</v>
      </c>
      <c r="T37" s="34" t="s">
        <v>237</v>
      </c>
      <c r="U37" s="6" t="s">
        <v>320</v>
      </c>
      <c r="V37" s="33" t="s">
        <v>321</v>
      </c>
    </row>
    <row r="38" spans="1:22" ht="15" x14ac:dyDescent="0.25">
      <c r="A38" s="22" t="s">
        <v>278</v>
      </c>
      <c r="B38" s="23"/>
      <c r="C38" s="54" t="str">
        <f t="shared" ref="C38:C42" si="2">D12</f>
        <v>Facility systeem</v>
      </c>
      <c r="D38" s="55" t="s">
        <v>322</v>
      </c>
      <c r="E38" s="55" t="s">
        <v>323</v>
      </c>
      <c r="F38" s="60"/>
      <c r="G38" s="25" t="s">
        <v>324</v>
      </c>
      <c r="H38" s="24" t="s">
        <v>325</v>
      </c>
      <c r="I38" s="24" t="s">
        <v>326</v>
      </c>
      <c r="J38" s="24" t="s">
        <v>327</v>
      </c>
      <c r="K38" s="24" t="s">
        <v>328</v>
      </c>
      <c r="M38" s="27" t="s">
        <v>329</v>
      </c>
      <c r="N38" s="28" t="s">
        <v>330</v>
      </c>
      <c r="O38" s="29" t="str">
        <f t="shared" si="0"/>
        <v>30.1.03a - Toilet ♂</v>
      </c>
      <c r="P38" s="30"/>
      <c r="Q38" s="30"/>
      <c r="R38" s="30"/>
      <c r="S38" s="33" t="s">
        <v>239</v>
      </c>
      <c r="T38" s="34" t="s">
        <v>240</v>
      </c>
      <c r="U38" s="6" t="s">
        <v>331</v>
      </c>
      <c r="V38" s="33" t="s">
        <v>332</v>
      </c>
    </row>
    <row r="39" spans="1:22" ht="15" x14ac:dyDescent="0.25">
      <c r="A39" s="58" t="s">
        <v>333</v>
      </c>
      <c r="B39" s="23"/>
      <c r="C39" s="54" t="str">
        <f t="shared" si="2"/>
        <v>TD installatie</v>
      </c>
      <c r="D39" s="55" t="s">
        <v>334</v>
      </c>
      <c r="E39" s="55" t="s">
        <v>335</v>
      </c>
      <c r="F39" s="60"/>
      <c r="G39" s="25" t="s">
        <v>336</v>
      </c>
      <c r="H39" s="24" t="s">
        <v>337</v>
      </c>
      <c r="I39" s="24" t="s">
        <v>338</v>
      </c>
      <c r="J39" s="24" t="s">
        <v>339</v>
      </c>
      <c r="K39" s="24" t="s">
        <v>340</v>
      </c>
      <c r="M39" s="27" t="s">
        <v>341</v>
      </c>
      <c r="N39" s="28" t="s">
        <v>342</v>
      </c>
      <c r="O39" s="29" t="str">
        <f t="shared" si="0"/>
        <v>30.1.03b - Douche ♂</v>
      </c>
      <c r="P39" s="30"/>
      <c r="Q39" s="30"/>
      <c r="R39" s="30"/>
      <c r="S39" s="33" t="s">
        <v>243</v>
      </c>
      <c r="T39" s="34" t="s">
        <v>244</v>
      </c>
      <c r="U39" s="6" t="s">
        <v>343</v>
      </c>
      <c r="V39" s="33" t="s">
        <v>344</v>
      </c>
    </row>
    <row r="40" spans="1:22" ht="15.75" thickBot="1" x14ac:dyDescent="0.3">
      <c r="A40" s="22" t="s">
        <v>345</v>
      </c>
      <c r="B40" s="23"/>
      <c r="C40" s="54" t="str">
        <f t="shared" si="2"/>
        <v>Productie machine</v>
      </c>
      <c r="D40" s="55" t="s">
        <v>346</v>
      </c>
      <c r="E40" s="55" t="s">
        <v>347</v>
      </c>
      <c r="F40" s="60"/>
      <c r="G40" s="25" t="s">
        <v>348</v>
      </c>
      <c r="H40" s="24" t="s">
        <v>349</v>
      </c>
      <c r="I40" s="24" t="s">
        <v>350</v>
      </c>
      <c r="J40" s="24" t="s">
        <v>351</v>
      </c>
      <c r="K40" s="24" t="s">
        <v>352</v>
      </c>
      <c r="M40" s="27" t="s">
        <v>353</v>
      </c>
      <c r="N40" s="28" t="s">
        <v>354</v>
      </c>
      <c r="O40" s="29" t="str">
        <f t="shared" si="0"/>
        <v>30.1.04 - Kleedruimte ♀ MHAW ♀</v>
      </c>
      <c r="P40" s="30"/>
      <c r="Q40" s="30"/>
      <c r="R40" s="30"/>
      <c r="S40" s="33" t="s">
        <v>248</v>
      </c>
      <c r="T40" s="34" t="s">
        <v>249</v>
      </c>
      <c r="U40" s="6" t="s">
        <v>355</v>
      </c>
      <c r="V40" s="33" t="s">
        <v>356</v>
      </c>
    </row>
    <row r="41" spans="1:22" ht="16.5" thickBot="1" x14ac:dyDescent="0.3">
      <c r="A41" s="22" t="s">
        <v>312</v>
      </c>
      <c r="B41" s="23"/>
      <c r="C41" s="54" t="str">
        <f t="shared" si="2"/>
        <v>Project installatie</v>
      </c>
      <c r="D41" s="55" t="s">
        <v>357</v>
      </c>
      <c r="E41" s="55" t="s">
        <v>358</v>
      </c>
      <c r="F41" s="61" t="s">
        <v>359</v>
      </c>
      <c r="G41" s="25" t="s">
        <v>360</v>
      </c>
      <c r="H41" s="24" t="s">
        <v>361</v>
      </c>
      <c r="I41" s="24" t="s">
        <v>362</v>
      </c>
      <c r="J41" s="24" t="s">
        <v>363</v>
      </c>
      <c r="K41" s="24" t="s">
        <v>364</v>
      </c>
      <c r="M41" s="27" t="s">
        <v>365</v>
      </c>
      <c r="N41" s="28" t="s">
        <v>366</v>
      </c>
      <c r="O41" s="29" t="str">
        <f t="shared" si="0"/>
        <v>30.1.04a - Toilet ♀</v>
      </c>
      <c r="P41" s="30"/>
      <c r="Q41" s="30"/>
      <c r="R41" s="30"/>
      <c r="S41" s="33" t="s">
        <v>262</v>
      </c>
      <c r="T41" s="34" t="s">
        <v>263</v>
      </c>
      <c r="U41" s="6" t="s">
        <v>288</v>
      </c>
      <c r="V41" s="33" t="s">
        <v>367</v>
      </c>
    </row>
    <row r="42" spans="1:22" ht="15" x14ac:dyDescent="0.25">
      <c r="A42" s="22" t="s">
        <v>368</v>
      </c>
      <c r="B42" s="23"/>
      <c r="C42" s="54">
        <f t="shared" si="2"/>
        <v>0</v>
      </c>
      <c r="D42" s="55"/>
      <c r="E42" s="55"/>
      <c r="F42" s="62"/>
      <c r="G42" s="25" t="s">
        <v>369</v>
      </c>
      <c r="H42" s="24" t="s">
        <v>370</v>
      </c>
      <c r="I42" s="24" t="s">
        <v>371</v>
      </c>
      <c r="J42" s="24" t="s">
        <v>372</v>
      </c>
      <c r="K42" s="24" t="s">
        <v>373</v>
      </c>
      <c r="M42" s="27" t="s">
        <v>374</v>
      </c>
      <c r="N42" s="28" t="s">
        <v>375</v>
      </c>
      <c r="O42" s="29" t="str">
        <f t="shared" si="0"/>
        <v xml:space="preserve">30.1.04b - Douche ♀ </v>
      </c>
      <c r="P42" s="30"/>
      <c r="Q42" s="30"/>
      <c r="R42" s="30"/>
      <c r="S42" s="33" t="s">
        <v>269</v>
      </c>
      <c r="T42" s="34" t="s">
        <v>270</v>
      </c>
      <c r="U42" s="6" t="s">
        <v>376</v>
      </c>
      <c r="V42" s="33" t="s">
        <v>270</v>
      </c>
    </row>
    <row r="43" spans="1:22" ht="15" x14ac:dyDescent="0.25">
      <c r="A43" s="22"/>
      <c r="B43" s="23"/>
      <c r="C43" s="54" t="str">
        <f>D19</f>
        <v>SHE</v>
      </c>
      <c r="D43" s="55" t="s">
        <v>377</v>
      </c>
      <c r="E43" s="55" t="s">
        <v>378</v>
      </c>
      <c r="F43" s="37" t="s">
        <v>379</v>
      </c>
      <c r="G43" s="24" t="s">
        <v>380</v>
      </c>
      <c r="H43" s="24" t="s">
        <v>381</v>
      </c>
      <c r="I43" s="24" t="s">
        <v>382</v>
      </c>
      <c r="J43" s="24" t="s">
        <v>383</v>
      </c>
      <c r="K43" s="24" t="s">
        <v>384</v>
      </c>
      <c r="M43" s="27" t="s">
        <v>385</v>
      </c>
      <c r="N43" s="28" t="s">
        <v>386</v>
      </c>
      <c r="O43" s="29" t="str">
        <f t="shared" si="0"/>
        <v>40.0.17 - Acculaadruimte</v>
      </c>
      <c r="P43" s="30"/>
      <c r="Q43" s="30"/>
      <c r="R43" s="30"/>
      <c r="S43" s="33" t="s">
        <v>387</v>
      </c>
      <c r="T43" s="34" t="s">
        <v>388</v>
      </c>
      <c r="U43" s="6" t="s">
        <v>389</v>
      </c>
      <c r="V43" s="33" t="s">
        <v>390</v>
      </c>
    </row>
    <row r="44" spans="1:22" ht="15" x14ac:dyDescent="0.25">
      <c r="A44" s="22"/>
      <c r="B44" s="23"/>
      <c r="C44" s="54" t="str">
        <f>D20</f>
        <v>V&amp;G coördinator</v>
      </c>
      <c r="D44" s="55" t="s">
        <v>391</v>
      </c>
      <c r="E44" s="55" t="s">
        <v>392</v>
      </c>
      <c r="F44" s="39" t="s">
        <v>393</v>
      </c>
      <c r="G44" s="24" t="s">
        <v>394</v>
      </c>
      <c r="H44" s="24" t="s">
        <v>395</v>
      </c>
      <c r="I44" s="24" t="s">
        <v>396</v>
      </c>
      <c r="J44" s="24" t="s">
        <v>397</v>
      </c>
      <c r="K44" s="24" t="s">
        <v>398</v>
      </c>
      <c r="M44" s="27" t="s">
        <v>399</v>
      </c>
      <c r="N44" s="28" t="s">
        <v>400</v>
      </c>
      <c r="O44" s="29" t="str">
        <f t="shared" si="0"/>
        <v>40.0.32 - Voorportaal trappenhuis</v>
      </c>
      <c r="P44" s="30"/>
      <c r="Q44" s="30"/>
      <c r="R44" s="30"/>
      <c r="S44" s="33" t="s">
        <v>401</v>
      </c>
      <c r="T44" s="34" t="s">
        <v>402</v>
      </c>
      <c r="U44" s="6" t="s">
        <v>403</v>
      </c>
      <c r="V44" s="33" t="s">
        <v>404</v>
      </c>
    </row>
    <row r="45" spans="1:22" ht="15" x14ac:dyDescent="0.25">
      <c r="A45" s="22"/>
      <c r="B45" s="23"/>
      <c r="C45" s="54" t="str">
        <f t="shared" ref="C45:C51" si="3">D21</f>
        <v>Veiligheidskundige</v>
      </c>
      <c r="D45" s="55" t="s">
        <v>405</v>
      </c>
      <c r="E45" s="56" t="s">
        <v>406</v>
      </c>
      <c r="F45" s="39"/>
      <c r="G45" s="24" t="s">
        <v>407</v>
      </c>
      <c r="H45" s="24" t="s">
        <v>408</v>
      </c>
      <c r="I45" s="24" t="s">
        <v>409</v>
      </c>
      <c r="J45" s="24" t="s">
        <v>410</v>
      </c>
      <c r="K45" s="24" t="s">
        <v>411</v>
      </c>
      <c r="M45" s="27" t="s">
        <v>412</v>
      </c>
      <c r="N45" s="28" t="s">
        <v>413</v>
      </c>
      <c r="O45" s="29" t="str">
        <f t="shared" si="0"/>
        <v>40.0.33 - Opslag verpakkingsruimte</v>
      </c>
      <c r="P45" s="30"/>
      <c r="Q45" s="30"/>
      <c r="R45" s="30"/>
      <c r="S45" s="33" t="s">
        <v>414</v>
      </c>
      <c r="T45" s="34" t="s">
        <v>415</v>
      </c>
      <c r="U45" s="6" t="s">
        <v>416</v>
      </c>
      <c r="V45" s="33" t="s">
        <v>417</v>
      </c>
    </row>
    <row r="46" spans="1:22" ht="15.75" thickBot="1" x14ac:dyDescent="0.3">
      <c r="A46" s="63"/>
      <c r="B46" s="64"/>
      <c r="C46" s="54" t="str">
        <f t="shared" si="3"/>
        <v>Specialist</v>
      </c>
      <c r="D46" s="55" t="s">
        <v>418</v>
      </c>
      <c r="E46" s="55" t="s">
        <v>419</v>
      </c>
      <c r="F46" s="65"/>
      <c r="G46" s="24" t="s">
        <v>420</v>
      </c>
      <c r="H46" s="24" t="s">
        <v>421</v>
      </c>
      <c r="I46" s="24" t="s">
        <v>422</v>
      </c>
      <c r="J46" s="24" t="s">
        <v>423</v>
      </c>
      <c r="K46" s="24" t="s">
        <v>424</v>
      </c>
      <c r="M46" s="27" t="s">
        <v>425</v>
      </c>
      <c r="N46" s="28" t="s">
        <v>426</v>
      </c>
      <c r="O46" s="29" t="str">
        <f t="shared" si="0"/>
        <v>40.0.34 - HVAC verpakkingsruimte</v>
      </c>
      <c r="P46" s="30"/>
      <c r="Q46" s="30"/>
      <c r="R46" s="30"/>
      <c r="S46" s="33" t="s">
        <v>427</v>
      </c>
      <c r="T46" s="34" t="s">
        <v>415</v>
      </c>
      <c r="U46" s="6" t="s">
        <v>416</v>
      </c>
      <c r="V46" s="33" t="s">
        <v>417</v>
      </c>
    </row>
    <row r="47" spans="1:22" ht="15" x14ac:dyDescent="0.25">
      <c r="A47" s="66"/>
      <c r="B47" s="67"/>
      <c r="C47" s="54" t="str">
        <f t="shared" si="3"/>
        <v>IV BMC</v>
      </c>
      <c r="D47" s="55" t="s">
        <v>428</v>
      </c>
      <c r="E47" s="56" t="s">
        <v>429</v>
      </c>
      <c r="F47" s="68"/>
      <c r="G47" s="24" t="s">
        <v>430</v>
      </c>
      <c r="H47" s="24" t="s">
        <v>431</v>
      </c>
      <c r="I47" s="24" t="s">
        <v>432</v>
      </c>
      <c r="J47" s="24" t="s">
        <v>433</v>
      </c>
      <c r="K47" s="24" t="s">
        <v>434</v>
      </c>
      <c r="M47" s="27" t="s">
        <v>435</v>
      </c>
      <c r="N47" s="28" t="s">
        <v>436</v>
      </c>
      <c r="O47" s="29" t="str">
        <f t="shared" si="0"/>
        <v>40.0.35 - Voorportaal</v>
      </c>
      <c r="P47" s="30"/>
      <c r="Q47" s="30"/>
      <c r="R47" s="30"/>
      <c r="S47" s="33" t="s">
        <v>437</v>
      </c>
      <c r="T47" s="34" t="s">
        <v>415</v>
      </c>
      <c r="U47" s="6" t="s">
        <v>416</v>
      </c>
      <c r="V47" s="33" t="s">
        <v>417</v>
      </c>
    </row>
    <row r="48" spans="1:22" ht="15" x14ac:dyDescent="0.25">
      <c r="A48" s="22"/>
      <c r="B48" s="23"/>
      <c r="C48" s="54" t="str">
        <f t="shared" si="3"/>
        <v>IV Elektra</v>
      </c>
      <c r="D48" s="55" t="s">
        <v>438</v>
      </c>
      <c r="E48" s="56" t="s">
        <v>439</v>
      </c>
      <c r="F48" s="39"/>
      <c r="G48" s="24" t="s">
        <v>440</v>
      </c>
      <c r="H48" s="24" t="s">
        <v>441</v>
      </c>
      <c r="I48" s="24" t="s">
        <v>442</v>
      </c>
      <c r="J48" s="24" t="s">
        <v>443</v>
      </c>
      <c r="K48" s="24" t="s">
        <v>444</v>
      </c>
      <c r="M48" s="27" t="s">
        <v>445</v>
      </c>
      <c r="N48" s="28" t="s">
        <v>446</v>
      </c>
      <c r="O48" s="29" t="str">
        <f t="shared" si="0"/>
        <v>40.1.05 - Trappenhuis NFA</v>
      </c>
      <c r="P48" s="30"/>
      <c r="Q48" s="30"/>
      <c r="R48" s="30"/>
      <c r="S48" s="33" t="s">
        <v>447</v>
      </c>
      <c r="T48" s="34" t="s">
        <v>415</v>
      </c>
      <c r="U48" s="6" t="s">
        <v>416</v>
      </c>
      <c r="V48" s="33" t="s">
        <v>417</v>
      </c>
    </row>
    <row r="49" spans="1:22" ht="15" x14ac:dyDescent="0.25">
      <c r="A49" s="22"/>
      <c r="B49" s="23"/>
      <c r="C49" s="54" t="str">
        <f t="shared" si="3"/>
        <v>IV Gas</v>
      </c>
      <c r="D49" s="55" t="s">
        <v>448</v>
      </c>
      <c r="E49" s="56" t="s">
        <v>449</v>
      </c>
      <c r="F49" s="39"/>
      <c r="G49" s="24" t="s">
        <v>450</v>
      </c>
      <c r="H49" s="24" t="s">
        <v>451</v>
      </c>
      <c r="I49" s="24" t="s">
        <v>452</v>
      </c>
      <c r="J49" s="24" t="s">
        <v>453</v>
      </c>
      <c r="K49" s="24" t="s">
        <v>454</v>
      </c>
      <c r="M49" s="27" t="s">
        <v>455</v>
      </c>
      <c r="N49" s="28" t="s">
        <v>456</v>
      </c>
      <c r="O49" s="29" t="str">
        <f t="shared" si="0"/>
        <v>40.1.06 - Trappenhuis HHA</v>
      </c>
      <c r="P49" s="30"/>
      <c r="Q49" s="30"/>
      <c r="R49" s="30"/>
      <c r="S49" s="33" t="s">
        <v>457</v>
      </c>
      <c r="T49" s="34" t="s">
        <v>458</v>
      </c>
      <c r="U49" s="6" t="s">
        <v>459</v>
      </c>
      <c r="V49" s="33" t="s">
        <v>460</v>
      </c>
    </row>
    <row r="50" spans="1:22" ht="15" x14ac:dyDescent="0.25">
      <c r="A50" s="22"/>
      <c r="B50" s="23"/>
      <c r="C50" s="54" t="str">
        <f t="shared" si="3"/>
        <v>IV Water</v>
      </c>
      <c r="D50" s="55" t="s">
        <v>461</v>
      </c>
      <c r="E50" s="56" t="s">
        <v>462</v>
      </c>
      <c r="F50" s="39"/>
      <c r="G50" s="24"/>
      <c r="H50" s="24" t="s">
        <v>463</v>
      </c>
      <c r="I50" s="24" t="s">
        <v>464</v>
      </c>
      <c r="J50" s="24" t="s">
        <v>465</v>
      </c>
      <c r="K50" s="24" t="s">
        <v>466</v>
      </c>
      <c r="M50" s="27" t="s">
        <v>467</v>
      </c>
      <c r="N50" s="28" t="s">
        <v>468</v>
      </c>
      <c r="O50" s="29" t="str">
        <f t="shared" si="0"/>
        <v>40.1.07 - Controle kamer</v>
      </c>
      <c r="P50" s="30"/>
      <c r="Q50" s="30"/>
      <c r="R50" s="30"/>
      <c r="S50" s="33" t="s">
        <v>469</v>
      </c>
      <c r="T50" s="34" t="s">
        <v>470</v>
      </c>
      <c r="U50" s="6" t="s">
        <v>470</v>
      </c>
      <c r="V50" s="33" t="s">
        <v>470</v>
      </c>
    </row>
    <row r="51" spans="1:22" ht="15" x14ac:dyDescent="0.25">
      <c r="A51" s="22"/>
      <c r="B51" s="23"/>
      <c r="C51" s="54">
        <f t="shared" si="3"/>
        <v>0</v>
      </c>
      <c r="D51" s="55"/>
      <c r="E51" s="56"/>
      <c r="F51" s="39"/>
      <c r="G51" s="24"/>
      <c r="H51" s="24" t="s">
        <v>471</v>
      </c>
      <c r="I51" s="24" t="s">
        <v>472</v>
      </c>
      <c r="J51" s="24" t="s">
        <v>473</v>
      </c>
      <c r="K51" s="24" t="s">
        <v>474</v>
      </c>
      <c r="M51" s="27" t="s">
        <v>475</v>
      </c>
      <c r="N51" s="28" t="s">
        <v>476</v>
      </c>
      <c r="O51" s="29" t="str">
        <f t="shared" si="0"/>
        <v>40.1.08 - Laboratorium</v>
      </c>
      <c r="P51" s="30"/>
      <c r="Q51" s="30"/>
      <c r="R51" s="30"/>
      <c r="S51" s="33" t="s">
        <v>276</v>
      </c>
      <c r="T51" s="34" t="s">
        <v>277</v>
      </c>
      <c r="U51" s="6" t="s">
        <v>477</v>
      </c>
      <c r="V51" s="33" t="s">
        <v>478</v>
      </c>
    </row>
    <row r="52" spans="1:22" ht="15" x14ac:dyDescent="0.25">
      <c r="A52" s="22"/>
      <c r="B52" s="23"/>
      <c r="C52" s="84" t="s">
        <v>479</v>
      </c>
      <c r="D52" s="86" t="s">
        <v>480</v>
      </c>
      <c r="E52" s="87"/>
      <c r="F52" s="39"/>
      <c r="G52" s="24"/>
      <c r="H52" s="24" t="s">
        <v>481</v>
      </c>
      <c r="I52" s="24" t="s">
        <v>482</v>
      </c>
      <c r="J52" s="24"/>
      <c r="K52" s="24" t="s">
        <v>483</v>
      </c>
      <c r="M52" s="27" t="s">
        <v>484</v>
      </c>
      <c r="N52" s="28" t="s">
        <v>223</v>
      </c>
      <c r="O52" s="29" t="str">
        <f t="shared" si="0"/>
        <v>30.1.19 - Spreekkamer</v>
      </c>
      <c r="P52" s="30"/>
      <c r="Q52" s="30"/>
      <c r="R52" s="30"/>
      <c r="S52" s="33" t="s">
        <v>286</v>
      </c>
      <c r="T52" s="34" t="s">
        <v>287</v>
      </c>
      <c r="U52" s="6" t="s">
        <v>485</v>
      </c>
      <c r="V52" s="33" t="s">
        <v>486</v>
      </c>
    </row>
    <row r="53" spans="1:22" ht="15.75" thickBot="1" x14ac:dyDescent="0.3">
      <c r="A53" s="22"/>
      <c r="B53" s="23"/>
      <c r="C53" s="85"/>
      <c r="D53" s="88"/>
      <c r="E53" s="89"/>
      <c r="F53" s="39"/>
      <c r="G53" s="24"/>
      <c r="H53" s="24"/>
      <c r="I53" s="24" t="s">
        <v>487</v>
      </c>
      <c r="J53" s="24"/>
      <c r="K53" s="24" t="s">
        <v>488</v>
      </c>
      <c r="M53" s="27" t="s">
        <v>489</v>
      </c>
      <c r="N53" s="28" t="s">
        <v>230</v>
      </c>
      <c r="O53" s="29" t="str">
        <f t="shared" si="0"/>
        <v>30.1.24 - Opslag utilities</v>
      </c>
      <c r="P53" s="30"/>
      <c r="Q53" s="30"/>
      <c r="R53" s="30"/>
      <c r="S53" s="33" t="s">
        <v>298</v>
      </c>
      <c r="T53" s="34" t="s">
        <v>299</v>
      </c>
      <c r="U53" s="6" t="s">
        <v>490</v>
      </c>
      <c r="V53" s="33" t="s">
        <v>491</v>
      </c>
    </row>
    <row r="54" spans="1:22" ht="15" x14ac:dyDescent="0.25">
      <c r="A54" s="22"/>
      <c r="B54" s="23"/>
      <c r="C54" s="54"/>
      <c r="D54" s="69"/>
      <c r="E54" s="70"/>
      <c r="F54" s="39"/>
      <c r="G54" s="24"/>
      <c r="H54" s="24"/>
      <c r="I54" s="24"/>
      <c r="J54" s="24"/>
      <c r="K54" s="24" t="s">
        <v>492</v>
      </c>
      <c r="M54" s="27" t="s">
        <v>493</v>
      </c>
      <c r="N54" s="28" t="s">
        <v>234</v>
      </c>
      <c r="O54" s="29" t="str">
        <f t="shared" si="0"/>
        <v>30.1.25 - Laagspanningsruimte</v>
      </c>
      <c r="P54" s="30"/>
      <c r="Q54" s="30"/>
      <c r="R54" s="30"/>
      <c r="S54" s="33" t="s">
        <v>308</v>
      </c>
      <c r="T54" s="34" t="s">
        <v>309</v>
      </c>
      <c r="U54" s="6" t="s">
        <v>494</v>
      </c>
      <c r="V54" s="33" t="s">
        <v>495</v>
      </c>
    </row>
    <row r="55" spans="1:22" ht="15" x14ac:dyDescent="0.25">
      <c r="A55" s="22"/>
      <c r="B55" s="23"/>
      <c r="C55" s="54"/>
      <c r="D55" s="69"/>
      <c r="E55" s="70"/>
      <c r="F55" s="39"/>
      <c r="G55" s="24"/>
      <c r="H55" s="24"/>
      <c r="I55" s="24"/>
      <c r="J55" s="24"/>
      <c r="K55" s="71" t="s">
        <v>496</v>
      </c>
      <c r="M55" s="27" t="s">
        <v>497</v>
      </c>
      <c r="N55" s="28" t="s">
        <v>237</v>
      </c>
      <c r="O55" s="29" t="str">
        <f t="shared" si="0"/>
        <v>30.6.01 - MCC ruimte</v>
      </c>
      <c r="P55" s="30"/>
      <c r="Q55" s="30"/>
      <c r="R55" s="30"/>
      <c r="S55" s="33" t="s">
        <v>318</v>
      </c>
      <c r="T55" s="34" t="s">
        <v>319</v>
      </c>
      <c r="U55" s="6" t="s">
        <v>498</v>
      </c>
      <c r="V55" s="33" t="s">
        <v>499</v>
      </c>
    </row>
    <row r="56" spans="1:22" ht="15" x14ac:dyDescent="0.25">
      <c r="A56" s="22"/>
      <c r="B56" s="23"/>
      <c r="C56" s="54"/>
      <c r="D56" s="69"/>
      <c r="E56" s="70"/>
      <c r="F56" s="39"/>
      <c r="G56" s="37"/>
      <c r="H56" s="37"/>
      <c r="I56" s="37"/>
      <c r="J56" s="37"/>
      <c r="K56" s="24" t="s">
        <v>500</v>
      </c>
      <c r="M56" s="27" t="s">
        <v>501</v>
      </c>
      <c r="N56" s="28" t="s">
        <v>240</v>
      </c>
      <c r="O56" s="29" t="str">
        <f t="shared" si="0"/>
        <v>40.0.04 - Warmtepomp ruimte</v>
      </c>
      <c r="P56" s="30"/>
      <c r="Q56" s="30"/>
      <c r="R56" s="30"/>
      <c r="S56" s="33" t="s">
        <v>329</v>
      </c>
      <c r="T56" s="34" t="s">
        <v>330</v>
      </c>
      <c r="U56" s="6" t="s">
        <v>330</v>
      </c>
      <c r="V56" s="33" t="s">
        <v>502</v>
      </c>
    </row>
    <row r="57" spans="1:22" ht="15" x14ac:dyDescent="0.25">
      <c r="A57" s="22"/>
      <c r="B57" s="23"/>
      <c r="C57" s="54"/>
      <c r="D57" s="69"/>
      <c r="E57" s="70"/>
      <c r="F57" s="39"/>
      <c r="G57" s="37"/>
      <c r="H57" s="37"/>
      <c r="I57" s="37"/>
      <c r="J57" s="37"/>
      <c r="K57" s="24" t="s">
        <v>503</v>
      </c>
      <c r="M57" s="27" t="s">
        <v>504</v>
      </c>
      <c r="N57" s="28" t="s">
        <v>299</v>
      </c>
      <c r="O57" s="29" t="str">
        <f t="shared" si="0"/>
        <v>40.0.05 - Gang</v>
      </c>
      <c r="P57" s="30"/>
      <c r="Q57" s="30"/>
      <c r="R57" s="30"/>
      <c r="S57" s="33" t="s">
        <v>341</v>
      </c>
      <c r="T57" s="34" t="s">
        <v>342</v>
      </c>
      <c r="U57" s="6" t="s">
        <v>505</v>
      </c>
      <c r="V57" s="33" t="s">
        <v>506</v>
      </c>
    </row>
    <row r="58" spans="1:22" ht="15" x14ac:dyDescent="0.25">
      <c r="A58" s="22"/>
      <c r="B58" s="23"/>
      <c r="C58" s="54"/>
      <c r="D58" s="69"/>
      <c r="E58" s="70"/>
      <c r="F58" s="39"/>
      <c r="G58" s="37"/>
      <c r="H58" s="37"/>
      <c r="I58" s="37"/>
      <c r="J58" s="37"/>
      <c r="K58" s="24"/>
      <c r="M58" s="27" t="s">
        <v>507</v>
      </c>
      <c r="N58" s="28" t="s">
        <v>309</v>
      </c>
      <c r="O58" s="29" t="str">
        <f t="shared" si="0"/>
        <v>40.0.06 - Pauzeruimte</v>
      </c>
      <c r="P58" s="30"/>
      <c r="Q58" s="30"/>
      <c r="R58" s="30"/>
      <c r="S58" s="33" t="s">
        <v>353</v>
      </c>
      <c r="T58" s="34" t="s">
        <v>354</v>
      </c>
      <c r="U58" s="6" t="s">
        <v>508</v>
      </c>
      <c r="V58" s="33" t="s">
        <v>509</v>
      </c>
    </row>
    <row r="59" spans="1:22" ht="15" x14ac:dyDescent="0.25">
      <c r="A59" s="22"/>
      <c r="B59" s="23"/>
      <c r="C59" s="54"/>
      <c r="D59" s="69"/>
      <c r="E59" s="70"/>
      <c r="F59" s="39"/>
      <c r="G59" s="37"/>
      <c r="H59" s="37"/>
      <c r="I59" s="37"/>
      <c r="J59" s="37"/>
      <c r="K59" s="24"/>
      <c r="M59" s="27" t="s">
        <v>510</v>
      </c>
      <c r="N59" s="28" t="s">
        <v>319</v>
      </c>
      <c r="O59" s="29" t="str">
        <f t="shared" si="0"/>
        <v>40.0.07 - Kleedruimte ♂ MHAW ♂</v>
      </c>
      <c r="P59" s="30"/>
      <c r="Q59" s="30"/>
      <c r="R59" s="30"/>
      <c r="S59" s="33" t="s">
        <v>365</v>
      </c>
      <c r="T59" s="34" t="s">
        <v>366</v>
      </c>
      <c r="U59" s="6" t="s">
        <v>366</v>
      </c>
      <c r="V59" s="33" t="s">
        <v>511</v>
      </c>
    </row>
    <row r="60" spans="1:22" ht="15" x14ac:dyDescent="0.25">
      <c r="A60" s="22"/>
      <c r="B60" s="23"/>
      <c r="C60" s="54"/>
      <c r="D60" s="69"/>
      <c r="E60" s="70"/>
      <c r="F60" s="39"/>
      <c r="G60" s="37"/>
      <c r="H60" s="37"/>
      <c r="I60" s="37"/>
      <c r="J60" s="37"/>
      <c r="K60" s="24"/>
      <c r="M60" s="27" t="s">
        <v>512</v>
      </c>
      <c r="N60" s="28" t="s">
        <v>330</v>
      </c>
      <c r="O60" s="29" t="str">
        <f t="shared" si="0"/>
        <v>40.0.12 - Toilet ♂</v>
      </c>
      <c r="P60" s="30"/>
      <c r="Q60" s="30"/>
      <c r="R60" s="30"/>
      <c r="S60" s="33" t="s">
        <v>374</v>
      </c>
      <c r="T60" s="34" t="s">
        <v>513</v>
      </c>
      <c r="U60" s="6" t="s">
        <v>514</v>
      </c>
      <c r="V60" s="33" t="s">
        <v>515</v>
      </c>
    </row>
    <row r="61" spans="1:22" ht="15" x14ac:dyDescent="0.25">
      <c r="A61" s="22"/>
      <c r="B61" s="23"/>
      <c r="C61" s="54"/>
      <c r="D61" s="69"/>
      <c r="E61" s="70"/>
      <c r="F61" s="39"/>
      <c r="G61" s="37"/>
      <c r="H61" s="37"/>
      <c r="I61" s="37"/>
      <c r="J61" s="37"/>
      <c r="K61" s="24"/>
      <c r="M61" s="27" t="s">
        <v>516</v>
      </c>
      <c r="N61" s="28" t="s">
        <v>342</v>
      </c>
      <c r="O61" s="29" t="str">
        <f t="shared" si="0"/>
        <v>40.0.14 - Douche ♂</v>
      </c>
      <c r="P61" s="30"/>
      <c r="Q61" s="30"/>
      <c r="R61" s="30"/>
      <c r="S61" s="33" t="s">
        <v>484</v>
      </c>
      <c r="T61" s="34" t="s">
        <v>517</v>
      </c>
      <c r="U61" s="6" t="s">
        <v>518</v>
      </c>
      <c r="V61" s="33" t="s">
        <v>519</v>
      </c>
    </row>
    <row r="62" spans="1:22" ht="15" x14ac:dyDescent="0.25">
      <c r="A62" s="22"/>
      <c r="B62" s="23"/>
      <c r="C62" s="54"/>
      <c r="D62" s="69"/>
      <c r="E62" s="70"/>
      <c r="F62" s="39"/>
      <c r="G62" s="37"/>
      <c r="H62" s="37"/>
      <c r="I62" s="37"/>
      <c r="J62" s="37"/>
      <c r="K62" s="24"/>
      <c r="M62" s="27" t="s">
        <v>520</v>
      </c>
      <c r="N62" s="28" t="s">
        <v>354</v>
      </c>
      <c r="O62" s="29" t="str">
        <f t="shared" si="0"/>
        <v>40.0.15 - Kleedruimte ♀ MHAW ♀</v>
      </c>
      <c r="P62" s="30"/>
      <c r="Q62" s="30"/>
      <c r="R62" s="30"/>
      <c r="S62" s="33" t="s">
        <v>489</v>
      </c>
      <c r="T62" s="34" t="s">
        <v>521</v>
      </c>
      <c r="U62" s="6" t="s">
        <v>522</v>
      </c>
      <c r="V62" s="33" t="s">
        <v>523</v>
      </c>
    </row>
    <row r="63" spans="1:22" ht="15" x14ac:dyDescent="0.25">
      <c r="A63" s="22"/>
      <c r="B63" s="23"/>
      <c r="C63" s="54"/>
      <c r="D63" s="69"/>
      <c r="E63" s="70"/>
      <c r="F63" s="39"/>
      <c r="G63" s="37"/>
      <c r="H63" s="37"/>
      <c r="I63" s="37"/>
      <c r="J63" s="37"/>
      <c r="K63" s="24"/>
      <c r="M63" s="27" t="s">
        <v>524</v>
      </c>
      <c r="N63" s="28" t="s">
        <v>366</v>
      </c>
      <c r="O63" s="29" t="str">
        <f t="shared" si="0"/>
        <v>40.0.16 - Toilet ♀</v>
      </c>
      <c r="P63" s="30"/>
      <c r="Q63" s="30"/>
      <c r="R63" s="30"/>
      <c r="S63" s="33" t="s">
        <v>493</v>
      </c>
      <c r="T63" s="34" t="s">
        <v>525</v>
      </c>
      <c r="U63" s="6" t="s">
        <v>526</v>
      </c>
      <c r="V63" s="33" t="s">
        <v>527</v>
      </c>
    </row>
    <row r="64" spans="1:22" ht="15" x14ac:dyDescent="0.25">
      <c r="A64" s="22"/>
      <c r="B64" s="23"/>
      <c r="C64" s="54"/>
      <c r="D64" s="69"/>
      <c r="E64" s="70"/>
      <c r="F64" s="39"/>
      <c r="G64" s="37"/>
      <c r="H64" s="37"/>
      <c r="I64" s="37"/>
      <c r="J64" s="37"/>
      <c r="K64" s="24"/>
      <c r="M64" s="27" t="s">
        <v>385</v>
      </c>
      <c r="N64" s="28" t="s">
        <v>375</v>
      </c>
      <c r="O64" s="29" t="str">
        <f t="shared" si="0"/>
        <v xml:space="preserve">40.0.17 - Douche ♀ </v>
      </c>
      <c r="P64" s="30"/>
      <c r="Q64" s="30"/>
      <c r="R64" s="30"/>
      <c r="S64" s="33" t="s">
        <v>497</v>
      </c>
      <c r="T64" s="34" t="s">
        <v>528</v>
      </c>
      <c r="U64" s="6" t="s">
        <v>529</v>
      </c>
      <c r="V64" s="33" t="s">
        <v>530</v>
      </c>
    </row>
    <row r="65" spans="1:22" ht="15" x14ac:dyDescent="0.25">
      <c r="A65" s="22"/>
      <c r="B65" s="23"/>
      <c r="C65" s="54"/>
      <c r="D65" s="69"/>
      <c r="E65" s="70"/>
      <c r="F65" s="39"/>
      <c r="G65" s="37"/>
      <c r="H65" s="37"/>
      <c r="I65" s="37"/>
      <c r="J65" s="37"/>
      <c r="K65" s="24"/>
      <c r="M65" s="27" t="s">
        <v>399</v>
      </c>
      <c r="N65" s="28" t="s">
        <v>436</v>
      </c>
      <c r="O65" s="29" t="str">
        <f t="shared" si="0"/>
        <v>40.0.32 - Voorportaal</v>
      </c>
      <c r="P65" s="30"/>
      <c r="Q65" s="30"/>
      <c r="R65" s="30"/>
      <c r="S65" s="33" t="s">
        <v>501</v>
      </c>
      <c r="T65" s="34" t="s">
        <v>531</v>
      </c>
      <c r="U65" s="6" t="s">
        <v>532</v>
      </c>
      <c r="V65" s="33" t="s">
        <v>533</v>
      </c>
    </row>
    <row r="66" spans="1:22" ht="15.75" thickBot="1" x14ac:dyDescent="0.3">
      <c r="A66" s="63"/>
      <c r="B66" s="64"/>
      <c r="C66" s="72"/>
      <c r="D66" s="73"/>
      <c r="E66" s="74"/>
      <c r="F66" s="65"/>
      <c r="G66" s="75"/>
      <c r="H66" s="75"/>
      <c r="I66" s="75"/>
      <c r="J66" s="75"/>
      <c r="K66" s="75"/>
      <c r="M66" s="27" t="s">
        <v>412</v>
      </c>
      <c r="N66" s="28"/>
      <c r="O66" s="29" t="str">
        <f t="shared" si="0"/>
        <v xml:space="preserve">40.0.33 - </v>
      </c>
      <c r="P66" s="30"/>
      <c r="Q66" s="30"/>
      <c r="R66" s="30"/>
      <c r="S66" s="33" t="s">
        <v>504</v>
      </c>
      <c r="T66" s="34" t="s">
        <v>446</v>
      </c>
      <c r="U66" s="6" t="s">
        <v>534</v>
      </c>
      <c r="V66" s="33" t="s">
        <v>535</v>
      </c>
    </row>
    <row r="67" spans="1:22" ht="15" x14ac:dyDescent="0.25">
      <c r="M67" s="27" t="s">
        <v>425</v>
      </c>
      <c r="N67" s="28"/>
      <c r="O67" s="29" t="str">
        <f t="shared" ref="O67:O130" si="4">M67&amp;" - "&amp;N67</f>
        <v xml:space="preserve">40.0.34 - </v>
      </c>
      <c r="P67" s="30"/>
      <c r="Q67" s="30"/>
      <c r="R67" s="30"/>
      <c r="S67" s="33" t="s">
        <v>507</v>
      </c>
      <c r="T67" s="34" t="s">
        <v>456</v>
      </c>
      <c r="U67" s="6" t="s">
        <v>536</v>
      </c>
      <c r="V67" s="33" t="s">
        <v>537</v>
      </c>
    </row>
    <row r="68" spans="1:22" ht="15" x14ac:dyDescent="0.25">
      <c r="M68" s="27" t="s">
        <v>435</v>
      </c>
      <c r="N68" s="28"/>
      <c r="O68" s="29" t="str">
        <f t="shared" si="4"/>
        <v xml:space="preserve">40.0.35 - </v>
      </c>
      <c r="P68" s="30"/>
      <c r="Q68" s="30"/>
      <c r="R68" s="30"/>
      <c r="S68" s="33" t="s">
        <v>510</v>
      </c>
      <c r="T68" s="34" t="s">
        <v>470</v>
      </c>
      <c r="U68" s="6" t="s">
        <v>470</v>
      </c>
      <c r="V68" s="33" t="s">
        <v>470</v>
      </c>
    </row>
    <row r="69" spans="1:22" ht="15" x14ac:dyDescent="0.25">
      <c r="M69" s="27" t="s">
        <v>445</v>
      </c>
      <c r="N69" s="28"/>
      <c r="O69" s="29" t="str">
        <f t="shared" si="4"/>
        <v xml:space="preserve">40.1.05 - </v>
      </c>
      <c r="P69" s="30"/>
      <c r="Q69" s="30"/>
      <c r="R69" s="30"/>
      <c r="S69" s="33" t="s">
        <v>512</v>
      </c>
      <c r="T69" s="34" t="s">
        <v>538</v>
      </c>
      <c r="U69" s="6" t="s">
        <v>539</v>
      </c>
      <c r="V69" s="33" t="s">
        <v>540</v>
      </c>
    </row>
    <row r="70" spans="1:22" ht="15" x14ac:dyDescent="0.25">
      <c r="M70" s="27" t="s">
        <v>455</v>
      </c>
      <c r="N70" s="28"/>
      <c r="O70" s="29" t="str">
        <f t="shared" si="4"/>
        <v xml:space="preserve">40.1.06 - </v>
      </c>
      <c r="P70" s="30"/>
      <c r="Q70" s="30"/>
      <c r="R70" s="30"/>
      <c r="S70" s="33" t="s">
        <v>516</v>
      </c>
      <c r="T70" s="34" t="s">
        <v>541</v>
      </c>
      <c r="U70" s="6" t="s">
        <v>542</v>
      </c>
      <c r="V70" s="33" t="s">
        <v>543</v>
      </c>
    </row>
    <row r="71" spans="1:22" ht="15" x14ac:dyDescent="0.25">
      <c r="M71" s="27" t="s">
        <v>467</v>
      </c>
      <c r="N71" s="28"/>
      <c r="O71" s="29" t="str">
        <f t="shared" si="4"/>
        <v xml:space="preserve">40.1.07 - </v>
      </c>
      <c r="P71" s="30"/>
      <c r="Q71" s="30"/>
      <c r="R71" s="30"/>
      <c r="S71" s="33" t="s">
        <v>520</v>
      </c>
      <c r="T71" s="34" t="s">
        <v>470</v>
      </c>
      <c r="U71" s="6" t="s">
        <v>470</v>
      </c>
      <c r="V71" s="33" t="s">
        <v>470</v>
      </c>
    </row>
    <row r="72" spans="1:22" ht="15" x14ac:dyDescent="0.25">
      <c r="M72" s="27" t="s">
        <v>475</v>
      </c>
      <c r="N72" s="28"/>
      <c r="O72" s="29" t="str">
        <f t="shared" si="4"/>
        <v xml:space="preserve">40.1.08 - </v>
      </c>
      <c r="P72" s="30"/>
      <c r="Q72" s="30"/>
      <c r="R72" s="30"/>
      <c r="S72" s="33" t="s">
        <v>524</v>
      </c>
      <c r="T72" s="34" t="s">
        <v>544</v>
      </c>
      <c r="U72" s="6" t="s">
        <v>545</v>
      </c>
      <c r="V72" s="33" t="s">
        <v>546</v>
      </c>
    </row>
    <row r="73" spans="1:22" ht="15" x14ac:dyDescent="0.25">
      <c r="M73" s="27" t="s">
        <v>547</v>
      </c>
      <c r="N73" s="28"/>
      <c r="O73" s="29" t="str">
        <f t="shared" si="4"/>
        <v xml:space="preserve">40.1.09 - </v>
      </c>
      <c r="P73" s="30"/>
      <c r="Q73" s="30"/>
      <c r="R73" s="30"/>
      <c r="S73" s="33" t="s">
        <v>385</v>
      </c>
      <c r="T73" s="34" t="s">
        <v>386</v>
      </c>
      <c r="U73" s="6" t="s">
        <v>548</v>
      </c>
      <c r="V73" s="33" t="s">
        <v>549</v>
      </c>
    </row>
    <row r="74" spans="1:22" ht="15" x14ac:dyDescent="0.25">
      <c r="M74" s="27" t="s">
        <v>550</v>
      </c>
      <c r="N74" s="28"/>
      <c r="O74" s="29" t="str">
        <f t="shared" si="4"/>
        <v xml:space="preserve">40.1.10 - </v>
      </c>
      <c r="P74" s="30"/>
      <c r="Q74" s="30"/>
      <c r="R74" s="30"/>
      <c r="S74" s="33" t="s">
        <v>399</v>
      </c>
      <c r="T74" s="34" t="s">
        <v>400</v>
      </c>
      <c r="U74" s="6" t="s">
        <v>551</v>
      </c>
      <c r="V74" s="33" t="s">
        <v>552</v>
      </c>
    </row>
    <row r="75" spans="1:22" ht="15" x14ac:dyDescent="0.25">
      <c r="M75" s="27" t="s">
        <v>553</v>
      </c>
      <c r="N75" s="28"/>
      <c r="O75" s="29" t="str">
        <f t="shared" si="4"/>
        <v xml:space="preserve">40.1.11 - </v>
      </c>
      <c r="P75" s="30"/>
      <c r="Q75" s="30"/>
      <c r="R75" s="30"/>
      <c r="S75" s="33" t="s">
        <v>412</v>
      </c>
      <c r="T75" s="34" t="s">
        <v>413</v>
      </c>
      <c r="U75" s="6" t="s">
        <v>554</v>
      </c>
      <c r="V75" s="33" t="s">
        <v>555</v>
      </c>
    </row>
    <row r="76" spans="1:22" ht="15" x14ac:dyDescent="0.25">
      <c r="M76" s="27" t="s">
        <v>556</v>
      </c>
      <c r="N76" s="28"/>
      <c r="O76" s="29" t="str">
        <f t="shared" si="4"/>
        <v xml:space="preserve">40.1.11a - </v>
      </c>
      <c r="P76" s="30"/>
      <c r="Q76" s="30"/>
      <c r="R76" s="30"/>
      <c r="S76" s="33" t="s">
        <v>425</v>
      </c>
      <c r="T76" s="34" t="s">
        <v>426</v>
      </c>
      <c r="U76" s="6" t="s">
        <v>557</v>
      </c>
      <c r="V76" s="33" t="s">
        <v>558</v>
      </c>
    </row>
    <row r="77" spans="1:22" ht="15" x14ac:dyDescent="0.25">
      <c r="M77" s="27" t="s">
        <v>559</v>
      </c>
      <c r="N77" s="28"/>
      <c r="O77" s="29" t="str">
        <f t="shared" si="4"/>
        <v xml:space="preserve">40.1.12 - </v>
      </c>
      <c r="P77" s="30"/>
      <c r="Q77" s="30"/>
      <c r="R77" s="30"/>
      <c r="S77" s="33" t="s">
        <v>435</v>
      </c>
      <c r="T77" s="34" t="s">
        <v>436</v>
      </c>
      <c r="U77" s="6" t="s">
        <v>560</v>
      </c>
      <c r="V77" s="33" t="s">
        <v>561</v>
      </c>
    </row>
    <row r="78" spans="1:22" ht="15" x14ac:dyDescent="0.25">
      <c r="M78" s="27" t="s">
        <v>562</v>
      </c>
      <c r="N78" s="28"/>
      <c r="O78" s="29" t="str">
        <f t="shared" si="4"/>
        <v xml:space="preserve">40.1.13 - </v>
      </c>
      <c r="P78" s="30"/>
      <c r="Q78" s="30"/>
      <c r="R78" s="30"/>
      <c r="S78" s="33" t="s">
        <v>445</v>
      </c>
      <c r="T78" s="34" t="s">
        <v>446</v>
      </c>
      <c r="U78" s="6" t="s">
        <v>534</v>
      </c>
      <c r="V78" s="33" t="s">
        <v>535</v>
      </c>
    </row>
    <row r="79" spans="1:22" ht="15" x14ac:dyDescent="0.25">
      <c r="M79" s="27" t="s">
        <v>563</v>
      </c>
      <c r="N79" s="28"/>
      <c r="O79" s="29" t="str">
        <f t="shared" si="4"/>
        <v xml:space="preserve">40.1.14 - </v>
      </c>
      <c r="P79" s="30"/>
      <c r="Q79" s="30"/>
      <c r="R79" s="30"/>
      <c r="S79" s="33" t="s">
        <v>455</v>
      </c>
      <c r="T79" s="34" t="s">
        <v>456</v>
      </c>
      <c r="U79" s="6" t="s">
        <v>536</v>
      </c>
      <c r="V79" s="33" t="s">
        <v>537</v>
      </c>
    </row>
    <row r="80" spans="1:22" ht="15" x14ac:dyDescent="0.25">
      <c r="M80" s="27" t="s">
        <v>564</v>
      </c>
      <c r="N80" s="28"/>
      <c r="O80" s="29" t="str">
        <f t="shared" si="4"/>
        <v xml:space="preserve">40.1.23 - </v>
      </c>
      <c r="P80" s="30"/>
      <c r="Q80" s="30"/>
      <c r="R80" s="30"/>
      <c r="S80" s="33" t="s">
        <v>467</v>
      </c>
      <c r="T80" s="34" t="s">
        <v>468</v>
      </c>
      <c r="U80" s="6" t="s">
        <v>565</v>
      </c>
      <c r="V80" s="33" t="s">
        <v>566</v>
      </c>
    </row>
    <row r="81" spans="13:22" ht="15" x14ac:dyDescent="0.25">
      <c r="M81" s="27" t="s">
        <v>567</v>
      </c>
      <c r="N81" s="28"/>
      <c r="O81" s="29" t="str">
        <f t="shared" si="4"/>
        <v xml:space="preserve">40.2.01 - </v>
      </c>
      <c r="P81" s="30"/>
      <c r="Q81" s="30"/>
      <c r="R81" s="30"/>
      <c r="S81" s="33" t="s">
        <v>475</v>
      </c>
      <c r="T81" s="34" t="s">
        <v>476</v>
      </c>
      <c r="U81" s="6" t="s">
        <v>568</v>
      </c>
      <c r="V81" s="33" t="s">
        <v>220</v>
      </c>
    </row>
    <row r="82" spans="13:22" ht="15" x14ac:dyDescent="0.25">
      <c r="M82" s="27" t="s">
        <v>569</v>
      </c>
      <c r="N82" s="28"/>
      <c r="O82" s="29" t="str">
        <f t="shared" si="4"/>
        <v xml:space="preserve">40.2.02 - </v>
      </c>
      <c r="P82" s="30"/>
      <c r="Q82" s="30"/>
      <c r="R82" s="30"/>
      <c r="S82" s="33" t="s">
        <v>547</v>
      </c>
      <c r="T82" s="34" t="s">
        <v>570</v>
      </c>
      <c r="U82" s="6" t="s">
        <v>571</v>
      </c>
      <c r="V82" s="33" t="s">
        <v>572</v>
      </c>
    </row>
    <row r="83" spans="13:22" ht="15" x14ac:dyDescent="0.25">
      <c r="M83" s="27" t="s">
        <v>573</v>
      </c>
      <c r="N83" s="28"/>
      <c r="O83" s="29" t="str">
        <f t="shared" si="4"/>
        <v xml:space="preserve">40.2.03 - </v>
      </c>
      <c r="P83" s="30"/>
      <c r="Q83" s="30"/>
      <c r="R83" s="30"/>
      <c r="S83" s="33" t="s">
        <v>550</v>
      </c>
      <c r="T83" s="34" t="s">
        <v>574</v>
      </c>
      <c r="U83" s="6" t="s">
        <v>575</v>
      </c>
      <c r="V83" s="33" t="s">
        <v>576</v>
      </c>
    </row>
    <row r="84" spans="13:22" ht="15" x14ac:dyDescent="0.25">
      <c r="M84" s="27" t="s">
        <v>577</v>
      </c>
      <c r="N84" s="28"/>
      <c r="O84" s="29" t="str">
        <f t="shared" si="4"/>
        <v xml:space="preserve">40.2.04 - </v>
      </c>
      <c r="P84" s="30"/>
      <c r="Q84" s="30"/>
      <c r="R84" s="30"/>
      <c r="S84" s="33" t="s">
        <v>553</v>
      </c>
      <c r="T84" s="34" t="s">
        <v>578</v>
      </c>
      <c r="U84" s="6" t="s">
        <v>579</v>
      </c>
      <c r="V84" s="33" t="s">
        <v>580</v>
      </c>
    </row>
    <row r="85" spans="13:22" ht="15" x14ac:dyDescent="0.25">
      <c r="M85" s="27" t="s">
        <v>581</v>
      </c>
      <c r="N85" s="28"/>
      <c r="O85" s="29" t="str">
        <f t="shared" si="4"/>
        <v xml:space="preserve">40.2.05 - </v>
      </c>
      <c r="P85" s="30"/>
      <c r="Q85" s="30"/>
      <c r="R85" s="30"/>
      <c r="S85" s="33" t="s">
        <v>556</v>
      </c>
      <c r="T85" s="34" t="s">
        <v>582</v>
      </c>
      <c r="U85" s="6" t="s">
        <v>583</v>
      </c>
      <c r="V85" s="33" t="s">
        <v>584</v>
      </c>
    </row>
    <row r="86" spans="13:22" ht="15" x14ac:dyDescent="0.25">
      <c r="M86" s="27" t="s">
        <v>585</v>
      </c>
      <c r="N86" s="28"/>
      <c r="O86" s="29" t="str">
        <f t="shared" si="4"/>
        <v xml:space="preserve">40.2.06 - </v>
      </c>
      <c r="P86" s="30"/>
      <c r="Q86" s="30"/>
      <c r="R86" s="30"/>
      <c r="S86" s="33" t="s">
        <v>559</v>
      </c>
      <c r="T86" s="34" t="s">
        <v>586</v>
      </c>
      <c r="U86" s="6" t="s">
        <v>587</v>
      </c>
      <c r="V86" s="33" t="s">
        <v>588</v>
      </c>
    </row>
    <row r="87" spans="13:22" ht="15" x14ac:dyDescent="0.25">
      <c r="M87" s="27" t="s">
        <v>589</v>
      </c>
      <c r="N87" s="28"/>
      <c r="O87" s="29" t="str">
        <f t="shared" si="4"/>
        <v xml:space="preserve">40.3.01 - </v>
      </c>
      <c r="P87" s="30"/>
      <c r="Q87" s="30"/>
      <c r="R87" s="30"/>
      <c r="S87" s="33" t="s">
        <v>562</v>
      </c>
      <c r="T87" s="34" t="s">
        <v>299</v>
      </c>
      <c r="U87" s="6" t="s">
        <v>490</v>
      </c>
      <c r="V87" s="33" t="s">
        <v>491</v>
      </c>
    </row>
    <row r="88" spans="13:22" ht="15" x14ac:dyDescent="0.25">
      <c r="M88" s="27" t="s">
        <v>590</v>
      </c>
      <c r="N88" s="28"/>
      <c r="O88" s="29" t="str">
        <f t="shared" si="4"/>
        <v xml:space="preserve">40.3.02 - </v>
      </c>
      <c r="P88" s="30"/>
      <c r="Q88" s="30"/>
      <c r="R88" s="30"/>
      <c r="S88" s="33" t="s">
        <v>563</v>
      </c>
      <c r="T88" s="34" t="s">
        <v>591</v>
      </c>
      <c r="U88" s="6" t="s">
        <v>592</v>
      </c>
      <c r="V88" s="33" t="s">
        <v>593</v>
      </c>
    </row>
    <row r="89" spans="13:22" ht="15" x14ac:dyDescent="0.25">
      <c r="M89" s="27" t="s">
        <v>594</v>
      </c>
      <c r="N89" s="28"/>
      <c r="O89" s="29" t="str">
        <f t="shared" si="4"/>
        <v xml:space="preserve">40.3.03 - </v>
      </c>
      <c r="P89" s="30"/>
      <c r="Q89" s="30"/>
      <c r="R89" s="30"/>
      <c r="S89" s="33" t="s">
        <v>564</v>
      </c>
      <c r="T89" s="34" t="s">
        <v>595</v>
      </c>
      <c r="U89" s="6" t="s">
        <v>596</v>
      </c>
      <c r="V89" s="33" t="s">
        <v>597</v>
      </c>
    </row>
    <row r="90" spans="13:22" ht="15" x14ac:dyDescent="0.25">
      <c r="M90" s="27" t="s">
        <v>598</v>
      </c>
      <c r="N90" s="28"/>
      <c r="O90" s="29" t="str">
        <f t="shared" si="4"/>
        <v xml:space="preserve">40.4.01 - </v>
      </c>
      <c r="P90" s="30"/>
      <c r="Q90" s="30"/>
      <c r="R90" s="30"/>
      <c r="S90" s="33" t="s">
        <v>567</v>
      </c>
      <c r="T90" s="34" t="s">
        <v>599</v>
      </c>
      <c r="U90" s="6" t="s">
        <v>600</v>
      </c>
      <c r="V90" s="33" t="s">
        <v>601</v>
      </c>
    </row>
    <row r="91" spans="13:22" ht="15" x14ac:dyDescent="0.25">
      <c r="M91" s="27" t="s">
        <v>602</v>
      </c>
      <c r="N91" s="28"/>
      <c r="O91" s="29" t="str">
        <f t="shared" si="4"/>
        <v xml:space="preserve">40.4.02 - </v>
      </c>
      <c r="P91" s="30"/>
      <c r="Q91" s="30"/>
      <c r="R91" s="30"/>
      <c r="S91" s="33" t="s">
        <v>569</v>
      </c>
      <c r="T91" s="34" t="s">
        <v>574</v>
      </c>
      <c r="U91" s="6" t="s">
        <v>575</v>
      </c>
      <c r="V91" s="33" t="s">
        <v>576</v>
      </c>
    </row>
    <row r="92" spans="13:22" ht="15" x14ac:dyDescent="0.25">
      <c r="M92" s="27" t="s">
        <v>603</v>
      </c>
      <c r="N92" s="28"/>
      <c r="O92" s="29" t="str">
        <f t="shared" si="4"/>
        <v xml:space="preserve">40.4.03 - </v>
      </c>
      <c r="P92" s="30"/>
      <c r="Q92" s="30"/>
      <c r="R92" s="30"/>
      <c r="S92" s="33" t="s">
        <v>573</v>
      </c>
      <c r="T92" s="34" t="s">
        <v>570</v>
      </c>
      <c r="U92" s="6" t="s">
        <v>571</v>
      </c>
      <c r="V92" s="33" t="s">
        <v>572</v>
      </c>
    </row>
    <row r="93" spans="13:22" ht="15" x14ac:dyDescent="0.25">
      <c r="M93" s="27" t="s">
        <v>604</v>
      </c>
      <c r="N93" s="28"/>
      <c r="O93" s="29" t="str">
        <f t="shared" si="4"/>
        <v xml:space="preserve">40.4.04 - </v>
      </c>
      <c r="P93" s="30"/>
      <c r="Q93" s="30"/>
      <c r="R93" s="30"/>
      <c r="S93" s="33" t="s">
        <v>577</v>
      </c>
      <c r="T93" s="34" t="s">
        <v>299</v>
      </c>
      <c r="U93" s="6" t="s">
        <v>490</v>
      </c>
      <c r="V93" s="33" t="s">
        <v>491</v>
      </c>
    </row>
    <row r="94" spans="13:22" ht="15" x14ac:dyDescent="0.25">
      <c r="M94" s="27" t="s">
        <v>605</v>
      </c>
      <c r="N94" s="28"/>
      <c r="O94" s="29" t="str">
        <f t="shared" si="4"/>
        <v xml:space="preserve">40.4.05 - </v>
      </c>
      <c r="P94" s="30"/>
      <c r="Q94" s="30"/>
      <c r="R94" s="30"/>
      <c r="S94" s="33" t="s">
        <v>581</v>
      </c>
      <c r="T94" s="34" t="s">
        <v>446</v>
      </c>
      <c r="U94" s="6" t="s">
        <v>534</v>
      </c>
      <c r="V94" s="33" t="s">
        <v>535</v>
      </c>
    </row>
    <row r="95" spans="13:22" ht="15" x14ac:dyDescent="0.25">
      <c r="M95" s="27" t="s">
        <v>606</v>
      </c>
      <c r="N95" s="28"/>
      <c r="O95" s="29" t="str">
        <f t="shared" si="4"/>
        <v xml:space="preserve">40.4.06 - </v>
      </c>
      <c r="P95" s="30"/>
      <c r="Q95" s="30"/>
      <c r="R95" s="30"/>
      <c r="S95" s="33" t="s">
        <v>585</v>
      </c>
      <c r="T95" s="34" t="s">
        <v>456</v>
      </c>
      <c r="U95" s="6" t="s">
        <v>536</v>
      </c>
      <c r="V95" s="33" t="s">
        <v>537</v>
      </c>
    </row>
    <row r="96" spans="13:22" ht="15" x14ac:dyDescent="0.25">
      <c r="M96" s="27" t="s">
        <v>607</v>
      </c>
      <c r="N96" s="28"/>
      <c r="O96" s="29" t="str">
        <f t="shared" si="4"/>
        <v xml:space="preserve">40.4.07 - </v>
      </c>
      <c r="P96" s="30"/>
      <c r="Q96" s="30"/>
      <c r="R96" s="30"/>
      <c r="S96" s="33" t="s">
        <v>589</v>
      </c>
      <c r="T96" s="34" t="s">
        <v>237</v>
      </c>
      <c r="U96" s="6" t="s">
        <v>320</v>
      </c>
      <c r="V96" s="33" t="s">
        <v>321</v>
      </c>
    </row>
    <row r="97" spans="13:22" ht="15" x14ac:dyDescent="0.25">
      <c r="M97" s="27" t="s">
        <v>608</v>
      </c>
      <c r="N97" s="28"/>
      <c r="O97" s="29" t="str">
        <f t="shared" si="4"/>
        <v xml:space="preserve">40.5.01 - </v>
      </c>
      <c r="P97" s="30"/>
      <c r="Q97" s="30"/>
      <c r="R97" s="30"/>
      <c r="S97" s="33" t="s">
        <v>590</v>
      </c>
      <c r="T97" s="34" t="s">
        <v>609</v>
      </c>
      <c r="U97" s="6" t="s">
        <v>610</v>
      </c>
      <c r="V97" s="33" t="s">
        <v>611</v>
      </c>
    </row>
    <row r="98" spans="13:22" ht="15" x14ac:dyDescent="0.25">
      <c r="M98" s="27" t="s">
        <v>612</v>
      </c>
      <c r="N98" s="28"/>
      <c r="O98" s="29" t="str">
        <f t="shared" si="4"/>
        <v xml:space="preserve">40.5.02 - </v>
      </c>
      <c r="P98" s="30"/>
      <c r="Q98" s="30"/>
      <c r="R98" s="30"/>
      <c r="S98" s="33" t="s">
        <v>594</v>
      </c>
      <c r="T98" s="34" t="s">
        <v>446</v>
      </c>
      <c r="U98" s="6" t="s">
        <v>534</v>
      </c>
      <c r="V98" s="33" t="s">
        <v>535</v>
      </c>
    </row>
    <row r="99" spans="13:22" ht="15" x14ac:dyDescent="0.25">
      <c r="M99" s="27" t="s">
        <v>613</v>
      </c>
      <c r="N99" s="28"/>
      <c r="O99" s="29" t="str">
        <f t="shared" si="4"/>
        <v xml:space="preserve">40.5.03 - </v>
      </c>
      <c r="P99" s="30"/>
      <c r="Q99" s="30"/>
      <c r="R99" s="30"/>
      <c r="S99" s="33" t="s">
        <v>598</v>
      </c>
      <c r="T99" s="34" t="s">
        <v>578</v>
      </c>
      <c r="U99" s="6" t="s">
        <v>579</v>
      </c>
      <c r="V99" s="33" t="s">
        <v>580</v>
      </c>
    </row>
    <row r="100" spans="13:22" ht="15" x14ac:dyDescent="0.25">
      <c r="M100" s="27" t="s">
        <v>614</v>
      </c>
      <c r="N100" s="28"/>
      <c r="O100" s="29" t="str">
        <f t="shared" si="4"/>
        <v xml:space="preserve">40.5.04 - </v>
      </c>
      <c r="P100" s="30"/>
      <c r="Q100" s="30"/>
      <c r="R100" s="30"/>
      <c r="S100" s="33" t="s">
        <v>602</v>
      </c>
      <c r="T100" s="34" t="s">
        <v>599</v>
      </c>
      <c r="U100" s="6" t="s">
        <v>600</v>
      </c>
      <c r="V100" s="33" t="s">
        <v>601</v>
      </c>
    </row>
    <row r="101" spans="13:22" ht="15" x14ac:dyDescent="0.25">
      <c r="M101" s="27" t="s">
        <v>615</v>
      </c>
      <c r="N101" s="28"/>
      <c r="O101" s="29" t="str">
        <f t="shared" si="4"/>
        <v xml:space="preserve">40.5.05 - </v>
      </c>
      <c r="P101" s="30"/>
      <c r="Q101" s="30"/>
      <c r="R101" s="30"/>
      <c r="S101" s="33" t="s">
        <v>603</v>
      </c>
      <c r="T101" s="34" t="s">
        <v>574</v>
      </c>
      <c r="U101" s="6" t="s">
        <v>575</v>
      </c>
      <c r="V101" s="33" t="s">
        <v>576</v>
      </c>
    </row>
    <row r="102" spans="13:22" ht="15" x14ac:dyDescent="0.25">
      <c r="M102" s="27" t="s">
        <v>616</v>
      </c>
      <c r="N102" s="28"/>
      <c r="O102" s="29" t="str">
        <f t="shared" si="4"/>
        <v xml:space="preserve">40.5.06 - </v>
      </c>
      <c r="P102" s="30"/>
      <c r="Q102" s="30"/>
      <c r="R102" s="30"/>
      <c r="S102" s="33" t="s">
        <v>604</v>
      </c>
      <c r="T102" s="34" t="s">
        <v>570</v>
      </c>
      <c r="U102" s="6" t="s">
        <v>571</v>
      </c>
      <c r="V102" s="33" t="s">
        <v>572</v>
      </c>
    </row>
    <row r="103" spans="13:22" ht="15" x14ac:dyDescent="0.25">
      <c r="M103" s="27" t="s">
        <v>617</v>
      </c>
      <c r="N103" s="28"/>
      <c r="O103" s="29" t="str">
        <f t="shared" si="4"/>
        <v xml:space="preserve">40.5.07 - </v>
      </c>
      <c r="P103" s="30"/>
      <c r="Q103" s="30"/>
      <c r="R103" s="30"/>
      <c r="S103" s="33" t="s">
        <v>605</v>
      </c>
      <c r="T103" s="34" t="s">
        <v>299</v>
      </c>
      <c r="U103" s="6" t="s">
        <v>490</v>
      </c>
      <c r="V103" s="33" t="s">
        <v>491</v>
      </c>
    </row>
    <row r="104" spans="13:22" ht="15" x14ac:dyDescent="0.25">
      <c r="M104" s="27" t="s">
        <v>618</v>
      </c>
      <c r="N104" s="28"/>
      <c r="O104" s="29" t="str">
        <f t="shared" si="4"/>
        <v xml:space="preserve">40.6.02 - </v>
      </c>
      <c r="P104" s="30"/>
      <c r="Q104" s="30"/>
      <c r="R104" s="30"/>
      <c r="S104" s="33" t="s">
        <v>606</v>
      </c>
      <c r="T104" s="34" t="s">
        <v>446</v>
      </c>
      <c r="U104" s="6" t="s">
        <v>534</v>
      </c>
      <c r="V104" s="33" t="s">
        <v>535</v>
      </c>
    </row>
    <row r="105" spans="13:22" ht="15" x14ac:dyDescent="0.25">
      <c r="M105" s="27" t="s">
        <v>619</v>
      </c>
      <c r="N105" s="28"/>
      <c r="O105" s="29" t="str">
        <f t="shared" si="4"/>
        <v xml:space="preserve">45.1.15 - </v>
      </c>
      <c r="P105" s="30"/>
      <c r="Q105" s="30"/>
      <c r="R105" s="30"/>
      <c r="S105" s="33" t="s">
        <v>607</v>
      </c>
      <c r="T105" s="34" t="s">
        <v>456</v>
      </c>
      <c r="U105" s="6" t="s">
        <v>536</v>
      </c>
      <c r="V105" s="33" t="s">
        <v>537</v>
      </c>
    </row>
    <row r="106" spans="13:22" ht="15" x14ac:dyDescent="0.25">
      <c r="M106" s="27" t="s">
        <v>620</v>
      </c>
      <c r="N106" s="28"/>
      <c r="O106" s="29" t="str">
        <f t="shared" si="4"/>
        <v xml:space="preserve">45.3.05 - </v>
      </c>
      <c r="P106" s="30"/>
      <c r="Q106" s="30"/>
      <c r="R106" s="30"/>
      <c r="S106" s="33" t="s">
        <v>608</v>
      </c>
      <c r="T106" s="34" t="s">
        <v>578</v>
      </c>
      <c r="U106" s="6" t="s">
        <v>579</v>
      </c>
      <c r="V106" s="33" t="s">
        <v>580</v>
      </c>
    </row>
    <row r="107" spans="13:22" ht="15" x14ac:dyDescent="0.25">
      <c r="M107" s="27" t="s">
        <v>621</v>
      </c>
      <c r="N107" s="28"/>
      <c r="O107" s="29" t="str">
        <f t="shared" si="4"/>
        <v xml:space="preserve">50.0.18 - </v>
      </c>
      <c r="P107" s="30"/>
      <c r="Q107" s="30"/>
      <c r="R107" s="30"/>
      <c r="S107" s="33" t="s">
        <v>612</v>
      </c>
      <c r="T107" s="34" t="s">
        <v>599</v>
      </c>
      <c r="U107" s="6" t="s">
        <v>600</v>
      </c>
      <c r="V107" s="33" t="s">
        <v>601</v>
      </c>
    </row>
    <row r="108" spans="13:22" ht="15" x14ac:dyDescent="0.25">
      <c r="M108" s="27" t="s">
        <v>622</v>
      </c>
      <c r="N108" s="28"/>
      <c r="O108" s="29" t="str">
        <f t="shared" si="4"/>
        <v xml:space="preserve">50.0.19 - </v>
      </c>
      <c r="P108" s="30"/>
      <c r="Q108" s="30"/>
      <c r="R108" s="30"/>
      <c r="S108" s="33" t="s">
        <v>613</v>
      </c>
      <c r="T108" s="34" t="s">
        <v>623</v>
      </c>
      <c r="U108" s="6" t="s">
        <v>624</v>
      </c>
      <c r="V108" s="33" t="s">
        <v>625</v>
      </c>
    </row>
    <row r="109" spans="13:22" ht="15" x14ac:dyDescent="0.25">
      <c r="M109" s="27" t="s">
        <v>626</v>
      </c>
      <c r="N109" s="28"/>
      <c r="O109" s="29" t="str">
        <f t="shared" si="4"/>
        <v xml:space="preserve">50.0.20 - </v>
      </c>
      <c r="P109" s="30"/>
      <c r="Q109" s="30"/>
      <c r="R109" s="30"/>
      <c r="S109" s="33" t="s">
        <v>614</v>
      </c>
      <c r="T109" s="34" t="s">
        <v>570</v>
      </c>
      <c r="U109" s="6" t="s">
        <v>571</v>
      </c>
      <c r="V109" s="33" t="s">
        <v>572</v>
      </c>
    </row>
    <row r="110" spans="13:22" ht="15" x14ac:dyDescent="0.25">
      <c r="M110" s="27" t="s">
        <v>627</v>
      </c>
      <c r="N110" s="28"/>
      <c r="O110" s="29" t="str">
        <f t="shared" si="4"/>
        <v xml:space="preserve">50.3.06 - </v>
      </c>
      <c r="P110" s="30"/>
      <c r="Q110" s="30"/>
      <c r="R110" s="30"/>
      <c r="S110" s="33" t="s">
        <v>615</v>
      </c>
      <c r="T110" s="34" t="s">
        <v>446</v>
      </c>
      <c r="U110" s="6" t="s">
        <v>534</v>
      </c>
      <c r="V110" s="33" t="s">
        <v>535</v>
      </c>
    </row>
    <row r="111" spans="13:22" ht="15" x14ac:dyDescent="0.25">
      <c r="M111" s="27"/>
      <c r="N111" s="28"/>
      <c r="O111" s="29" t="str">
        <f t="shared" si="4"/>
        <v xml:space="preserve"> - </v>
      </c>
      <c r="P111" s="30"/>
      <c r="Q111" s="30"/>
      <c r="R111" s="30"/>
      <c r="S111" s="33" t="s">
        <v>616</v>
      </c>
      <c r="T111" s="34" t="s">
        <v>456</v>
      </c>
      <c r="U111" s="6" t="s">
        <v>536</v>
      </c>
      <c r="V111" s="33" t="s">
        <v>537</v>
      </c>
    </row>
    <row r="112" spans="13:22" ht="15" x14ac:dyDescent="0.25">
      <c r="M112" s="27"/>
      <c r="N112" s="28"/>
      <c r="O112" s="29" t="str">
        <f t="shared" si="4"/>
        <v xml:space="preserve"> - </v>
      </c>
      <c r="P112" s="30"/>
      <c r="Q112" s="30"/>
      <c r="R112" s="30"/>
      <c r="S112" s="33" t="s">
        <v>617</v>
      </c>
      <c r="T112" s="34" t="s">
        <v>299</v>
      </c>
      <c r="U112" s="6" t="s">
        <v>490</v>
      </c>
      <c r="V112" s="33" t="s">
        <v>491</v>
      </c>
    </row>
    <row r="113" spans="13:22" ht="15" x14ac:dyDescent="0.25">
      <c r="M113" s="27"/>
      <c r="N113" s="28"/>
      <c r="O113" s="29" t="str">
        <f t="shared" si="4"/>
        <v xml:space="preserve"> - </v>
      </c>
      <c r="P113" s="30"/>
      <c r="Q113" s="30"/>
      <c r="R113" s="30"/>
      <c r="S113" s="33" t="s">
        <v>618</v>
      </c>
      <c r="T113" s="34" t="s">
        <v>628</v>
      </c>
      <c r="U113" s="6" t="s">
        <v>629</v>
      </c>
      <c r="V113" s="33" t="s">
        <v>630</v>
      </c>
    </row>
    <row r="114" spans="13:22" ht="15" x14ac:dyDescent="0.25">
      <c r="M114" s="27"/>
      <c r="N114" s="28"/>
      <c r="O114" s="29" t="str">
        <f t="shared" si="4"/>
        <v xml:space="preserve"> - </v>
      </c>
      <c r="P114" s="30"/>
      <c r="Q114" s="30"/>
      <c r="R114" s="30"/>
      <c r="S114" s="33" t="s">
        <v>619</v>
      </c>
      <c r="T114" s="34" t="s">
        <v>631</v>
      </c>
      <c r="U114" s="6" t="s">
        <v>631</v>
      </c>
      <c r="V114" s="33" t="s">
        <v>631</v>
      </c>
    </row>
    <row r="115" spans="13:22" ht="15" x14ac:dyDescent="0.25">
      <c r="M115" s="27"/>
      <c r="N115" s="28"/>
      <c r="O115" s="29" t="str">
        <f t="shared" si="4"/>
        <v xml:space="preserve"> - </v>
      </c>
      <c r="P115" s="30"/>
      <c r="Q115" s="30"/>
      <c r="R115" s="30"/>
      <c r="S115" s="33" t="s">
        <v>620</v>
      </c>
      <c r="T115" s="34" t="s">
        <v>632</v>
      </c>
      <c r="U115" s="6" t="s">
        <v>633</v>
      </c>
      <c r="V115" s="33" t="s">
        <v>634</v>
      </c>
    </row>
    <row r="116" spans="13:22" ht="15" x14ac:dyDescent="0.25">
      <c r="M116" s="27"/>
      <c r="N116" s="28"/>
      <c r="O116" s="29" t="str">
        <f t="shared" si="4"/>
        <v xml:space="preserve"> - </v>
      </c>
      <c r="S116" s="33" t="s">
        <v>621</v>
      </c>
      <c r="T116" s="34" t="s">
        <v>56</v>
      </c>
      <c r="U116" s="6" t="s">
        <v>635</v>
      </c>
      <c r="V116" s="33" t="s">
        <v>636</v>
      </c>
    </row>
    <row r="117" spans="13:22" ht="15" x14ac:dyDescent="0.25">
      <c r="M117" s="27"/>
      <c r="N117" s="28"/>
      <c r="O117" s="29" t="str">
        <f t="shared" si="4"/>
        <v xml:space="preserve"> - </v>
      </c>
      <c r="S117" s="33" t="s">
        <v>622</v>
      </c>
      <c r="T117" s="34" t="s">
        <v>89</v>
      </c>
      <c r="U117" s="6" t="s">
        <v>170</v>
      </c>
      <c r="V117" s="33" t="s">
        <v>171</v>
      </c>
    </row>
    <row r="118" spans="13:22" ht="15" x14ac:dyDescent="0.25">
      <c r="M118" s="27"/>
      <c r="N118" s="28"/>
      <c r="O118" s="29" t="str">
        <f t="shared" si="4"/>
        <v xml:space="preserve"> - </v>
      </c>
      <c r="S118" s="33" t="s">
        <v>626</v>
      </c>
      <c r="T118" s="34" t="s">
        <v>470</v>
      </c>
      <c r="U118" s="6" t="s">
        <v>470</v>
      </c>
      <c r="V118" s="33" t="s">
        <v>470</v>
      </c>
    </row>
    <row r="119" spans="13:22" ht="15" x14ac:dyDescent="0.25">
      <c r="M119" s="27"/>
      <c r="N119" s="28"/>
      <c r="O119" s="29" t="str">
        <f t="shared" si="4"/>
        <v xml:space="preserve"> - </v>
      </c>
      <c r="S119" s="33" t="s">
        <v>627</v>
      </c>
      <c r="T119" s="34" t="s">
        <v>637</v>
      </c>
      <c r="U119" s="6" t="s">
        <v>638</v>
      </c>
      <c r="V119" s="33" t="s">
        <v>639</v>
      </c>
    </row>
    <row r="120" spans="13:22" ht="15" x14ac:dyDescent="0.25">
      <c r="M120" s="27"/>
      <c r="N120" s="28"/>
      <c r="O120" s="29" t="str">
        <f t="shared" si="4"/>
        <v xml:space="preserve"> - </v>
      </c>
    </row>
    <row r="121" spans="13:22" ht="15" x14ac:dyDescent="0.25">
      <c r="M121" s="27"/>
      <c r="N121" s="28"/>
      <c r="O121" s="29" t="str">
        <f t="shared" si="4"/>
        <v xml:space="preserve"> - </v>
      </c>
    </row>
    <row r="122" spans="13:22" ht="15" x14ac:dyDescent="0.25">
      <c r="M122" s="76"/>
      <c r="N122" s="77"/>
      <c r="O122" s="29" t="str">
        <f t="shared" si="4"/>
        <v xml:space="preserve"> - </v>
      </c>
    </row>
    <row r="123" spans="13:22" ht="15" x14ac:dyDescent="0.25">
      <c r="M123" s="76"/>
      <c r="N123" s="77"/>
      <c r="O123" s="29" t="str">
        <f t="shared" si="4"/>
        <v xml:space="preserve"> - </v>
      </c>
    </row>
    <row r="124" spans="13:22" ht="15" x14ac:dyDescent="0.25">
      <c r="M124" s="27"/>
      <c r="N124" s="28"/>
      <c r="O124" s="29" t="str">
        <f t="shared" si="4"/>
        <v xml:space="preserve"> - </v>
      </c>
    </row>
    <row r="125" spans="13:22" ht="15" x14ac:dyDescent="0.25">
      <c r="M125" s="27"/>
      <c r="N125" s="28"/>
      <c r="O125" s="29" t="str">
        <f t="shared" si="4"/>
        <v xml:space="preserve"> - </v>
      </c>
    </row>
    <row r="126" spans="13:22" ht="15" x14ac:dyDescent="0.25">
      <c r="M126" s="27"/>
      <c r="N126" s="28"/>
      <c r="O126" s="29" t="str">
        <f t="shared" si="4"/>
        <v xml:space="preserve"> - </v>
      </c>
    </row>
    <row r="127" spans="13:22" ht="15" x14ac:dyDescent="0.25">
      <c r="M127" s="27"/>
      <c r="N127" s="28"/>
      <c r="O127" s="29" t="str">
        <f t="shared" si="4"/>
        <v xml:space="preserve"> - </v>
      </c>
    </row>
    <row r="128" spans="13:22" ht="15" x14ac:dyDescent="0.25">
      <c r="M128" s="76"/>
      <c r="N128" s="77"/>
      <c r="O128" s="29" t="str">
        <f t="shared" si="4"/>
        <v xml:space="preserve"> - </v>
      </c>
    </row>
    <row r="129" spans="13:15" ht="15" x14ac:dyDescent="0.25">
      <c r="M129" s="76"/>
      <c r="N129" s="77"/>
      <c r="O129" s="29" t="str">
        <f t="shared" si="4"/>
        <v xml:space="preserve"> - </v>
      </c>
    </row>
    <row r="130" spans="13:15" ht="15" x14ac:dyDescent="0.25">
      <c r="M130" s="27"/>
      <c r="N130" s="28"/>
      <c r="O130" s="29" t="str">
        <f t="shared" si="4"/>
        <v xml:space="preserve"> - </v>
      </c>
    </row>
    <row r="131" spans="13:15" ht="15" x14ac:dyDescent="0.25">
      <c r="M131" s="27"/>
      <c r="N131" s="28"/>
      <c r="O131" s="29" t="str">
        <f t="shared" ref="O131:O150" si="5">M131&amp;" - "&amp;N131</f>
        <v xml:space="preserve"> - </v>
      </c>
    </row>
    <row r="132" spans="13:15" ht="15" x14ac:dyDescent="0.25">
      <c r="M132" s="27"/>
      <c r="N132" s="28"/>
      <c r="O132" s="29" t="str">
        <f t="shared" si="5"/>
        <v xml:space="preserve"> - </v>
      </c>
    </row>
    <row r="133" spans="13:15" ht="15" x14ac:dyDescent="0.25">
      <c r="M133" s="27"/>
      <c r="N133" s="28"/>
      <c r="O133" s="29" t="str">
        <f t="shared" si="5"/>
        <v xml:space="preserve"> - </v>
      </c>
    </row>
    <row r="134" spans="13:15" ht="15" x14ac:dyDescent="0.25">
      <c r="M134" s="76"/>
      <c r="N134" s="77"/>
      <c r="O134" s="29" t="str">
        <f t="shared" si="5"/>
        <v xml:space="preserve"> - </v>
      </c>
    </row>
    <row r="135" spans="13:15" ht="15" x14ac:dyDescent="0.25">
      <c r="M135" s="76"/>
      <c r="N135" s="77"/>
      <c r="O135" s="29" t="str">
        <f t="shared" si="5"/>
        <v xml:space="preserve"> - </v>
      </c>
    </row>
    <row r="136" spans="13:15" ht="15" x14ac:dyDescent="0.25">
      <c r="M136" s="27"/>
      <c r="N136" s="28"/>
      <c r="O136" s="29" t="str">
        <f t="shared" si="5"/>
        <v xml:space="preserve"> - </v>
      </c>
    </row>
    <row r="137" spans="13:15" ht="15" x14ac:dyDescent="0.25">
      <c r="M137" s="27"/>
      <c r="N137" s="28"/>
      <c r="O137" s="29" t="str">
        <f t="shared" si="5"/>
        <v xml:space="preserve"> - </v>
      </c>
    </row>
    <row r="138" spans="13:15" ht="15" x14ac:dyDescent="0.25">
      <c r="M138" s="27"/>
      <c r="N138" s="28"/>
      <c r="O138" s="29" t="str">
        <f t="shared" si="5"/>
        <v xml:space="preserve"> - </v>
      </c>
    </row>
    <row r="139" spans="13:15" ht="15" x14ac:dyDescent="0.25">
      <c r="M139" s="27"/>
      <c r="N139" s="28"/>
      <c r="O139" s="29" t="str">
        <f t="shared" si="5"/>
        <v xml:space="preserve"> - </v>
      </c>
    </row>
    <row r="140" spans="13:15" ht="15" x14ac:dyDescent="0.25">
      <c r="M140" s="76"/>
      <c r="N140" s="77"/>
      <c r="O140" s="29" t="str">
        <f t="shared" si="5"/>
        <v xml:space="preserve"> - </v>
      </c>
    </row>
    <row r="141" spans="13:15" ht="15" x14ac:dyDescent="0.25">
      <c r="M141" s="76"/>
      <c r="N141" s="77"/>
      <c r="O141" s="29" t="str">
        <f t="shared" si="5"/>
        <v xml:space="preserve"> - </v>
      </c>
    </row>
    <row r="142" spans="13:15" ht="15" x14ac:dyDescent="0.25">
      <c r="M142" s="27"/>
      <c r="N142" s="28"/>
      <c r="O142" s="29" t="str">
        <f t="shared" si="5"/>
        <v xml:space="preserve"> - </v>
      </c>
    </row>
    <row r="143" spans="13:15" ht="15" x14ac:dyDescent="0.25">
      <c r="M143" s="27"/>
      <c r="N143" s="28"/>
      <c r="O143" s="29" t="str">
        <f t="shared" si="5"/>
        <v xml:space="preserve"> - </v>
      </c>
    </row>
    <row r="144" spans="13:15" ht="15" x14ac:dyDescent="0.25">
      <c r="M144" s="27"/>
      <c r="N144" s="28"/>
      <c r="O144" s="29" t="str">
        <f t="shared" si="5"/>
        <v xml:space="preserve"> - </v>
      </c>
    </row>
    <row r="145" spans="13:15" ht="15" x14ac:dyDescent="0.25">
      <c r="M145" s="27"/>
      <c r="N145" s="28"/>
      <c r="O145" s="29" t="str">
        <f t="shared" si="5"/>
        <v xml:space="preserve"> - </v>
      </c>
    </row>
    <row r="146" spans="13:15" ht="15" x14ac:dyDescent="0.25">
      <c r="M146" s="76"/>
      <c r="N146" s="77"/>
      <c r="O146" s="29" t="str">
        <f t="shared" si="5"/>
        <v xml:space="preserve"> - </v>
      </c>
    </row>
    <row r="147" spans="13:15" ht="15" x14ac:dyDescent="0.25">
      <c r="M147" s="76"/>
      <c r="N147" s="77"/>
      <c r="O147" s="29" t="str">
        <f t="shared" si="5"/>
        <v xml:space="preserve"> - </v>
      </c>
    </row>
    <row r="148" spans="13:15" ht="15" x14ac:dyDescent="0.25">
      <c r="M148" s="27"/>
      <c r="N148" s="28"/>
      <c r="O148" s="29" t="str">
        <f t="shared" si="5"/>
        <v xml:space="preserve"> - </v>
      </c>
    </row>
    <row r="149" spans="13:15" ht="15" x14ac:dyDescent="0.25">
      <c r="M149" s="27"/>
      <c r="N149" s="28"/>
      <c r="O149" s="29" t="str">
        <f t="shared" si="5"/>
        <v xml:space="preserve"> - </v>
      </c>
    </row>
    <row r="150" spans="13:15" ht="15" x14ac:dyDescent="0.25">
      <c r="M150" s="78"/>
      <c r="N150" s="79"/>
      <c r="O150" s="80" t="str">
        <f t="shared" si="5"/>
        <v xml:space="preserve"> - </v>
      </c>
    </row>
  </sheetData>
  <sheetProtection selectLockedCells="1"/>
  <mergeCells count="3">
    <mergeCell ref="C30:E30"/>
    <mergeCell ref="C52:C53"/>
    <mergeCell ref="D52:E53"/>
  </mergeCells>
  <pageMargins left="0.7" right="0.7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23</vt:i4>
      </vt:variant>
    </vt:vector>
  </HeadingPairs>
  <TitlesOfParts>
    <vt:vector size="24" baseType="lpstr">
      <vt:lpstr>Data</vt:lpstr>
      <vt:lpstr>Afdeling1</vt:lpstr>
      <vt:lpstr>Bek_Gebied</vt:lpstr>
      <vt:lpstr>Bek_Meetekenen</vt:lpstr>
      <vt:lpstr>Bek_Systeem</vt:lpstr>
      <vt:lpstr>Bekrachtiging</vt:lpstr>
      <vt:lpstr>Bijlage</vt:lpstr>
      <vt:lpstr>Complexiteit</vt:lpstr>
      <vt:lpstr>Duur</vt:lpstr>
      <vt:lpstr>Gebied1</vt:lpstr>
      <vt:lpstr>Gereedschap</vt:lpstr>
      <vt:lpstr>Gevaren</vt:lpstr>
      <vt:lpstr>GevarenOmgeving</vt:lpstr>
      <vt:lpstr>Keuze</vt:lpstr>
      <vt:lpstr>Maatregel_H</vt:lpstr>
      <vt:lpstr>Maatregel_V</vt:lpstr>
      <vt:lpstr>PBM</vt:lpstr>
      <vt:lpstr>Reden</vt:lpstr>
      <vt:lpstr>Risico</vt:lpstr>
      <vt:lpstr>Ruimte</vt:lpstr>
      <vt:lpstr>RuimteNaam</vt:lpstr>
      <vt:lpstr>Team</vt:lpstr>
      <vt:lpstr>Werkwijze</vt:lpstr>
      <vt:lpstr>Werkzaamheden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en Jolanda Ruisch</dc:creator>
  <cp:lastModifiedBy>Wim en Jolanda Ruisch</cp:lastModifiedBy>
  <dcterms:created xsi:type="dcterms:W3CDTF">2015-06-05T18:17:20Z</dcterms:created>
  <dcterms:modified xsi:type="dcterms:W3CDTF">2025-08-24T05:45:37Z</dcterms:modified>
</cp:coreProperties>
</file>